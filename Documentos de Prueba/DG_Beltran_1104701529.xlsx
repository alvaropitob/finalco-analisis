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128"/>
  <workbookPr codeName="ThisWorkbook" defaultThemeVersion="124226"/>
  <mc:AlternateContent xmlns:mc="http://schemas.openxmlformats.org/markup-compatibility/2006">
    <mc:Choice Requires="x15">
      <x15ac:absPath xmlns:x15ac="http://schemas.microsoft.com/office/spreadsheetml/2010/11/ac" url="Z:\400CreditoOperaciones\410Comercial\Fabrica_Creditos\2026\Comite\3.Analisis_comite_Nano\Beltran_1104701529\"/>
    </mc:Choice>
  </mc:AlternateContent>
  <xr:revisionPtr revIDLastSave="0" documentId="13_ncr:1_{2987C391-799E-48A9-AF8D-CA89BDF940EE}" xr6:coauthVersionLast="47" xr6:coauthVersionMax="47" xr10:uidLastSave="{00000000-0000-0000-0000-000000000000}"/>
  <bookViews>
    <workbookView xWindow="-98" yWindow="-98" windowWidth="19396" windowHeight="11746" firstSheet="1" activeTab="3" xr2:uid="{00000000-000D-0000-FFFF-FFFF00000000}"/>
  </bookViews>
  <sheets>
    <sheet name="Simulador" sheetId="8" r:id="rId1"/>
    <sheet name="Plan de pagos" sheetId="5" r:id="rId2"/>
    <sheet name="Flujo Empleado" sheetId="11" r:id="rId3"/>
    <sheet name="Analisis" sheetId="12" r:id="rId4"/>
    <sheet name="Guion" sheetId="13" r:id="rId5"/>
    <sheet name="Preguntas_Reto" sheetId="9" state="hidden" r:id="rId6"/>
    <sheet name="Referenciación" sheetId="14" r:id="rId7"/>
    <sheet name="Fotos" sheetId="10" r:id="rId8"/>
    <sheet name="Preguntas reto" sheetId="15" r:id="rId9"/>
    <sheet name="ListaDepegable" sheetId="17" r:id="rId10"/>
    <sheet name="Evidencia Fotografica" sheetId="7" state="hidden" r:id="rId11"/>
  </sheets>
  <externalReferences>
    <externalReference r:id="rId12"/>
  </externalReferences>
  <definedNames>
    <definedName name="_xlnm.Print_Area" localSheetId="3">Analisis!$A$1:$H$34</definedName>
    <definedName name="_xlnm.Print_Area" localSheetId="10">'Evidencia Fotografica'!$A$1:$H$87</definedName>
    <definedName name="_xlnm.Print_Area" localSheetId="2">'Flujo Empleado'!$A$1:$F$68</definedName>
    <definedName name="_xlnm.Print_Area" localSheetId="1">'Plan de pagos'!$A$1:$P$25</definedName>
    <definedName name="Modalidad" localSheetId="3">#REF!</definedName>
    <definedName name="Modalidad" localSheetId="2">#REF!</definedName>
    <definedName name="Modalidad" localSheetId="7">#REF!</definedName>
    <definedName name="Modalidad" localSheetId="8">'[1]Plan de pagos'!$R$13:$R$14</definedName>
    <definedName name="Modalidad" localSheetId="5">#REF!</definedName>
    <definedName name="Modalidad">'Plan de pagos'!$R$13:$R$14</definedName>
    <definedName name="_xlnm.Print_Titles" localSheetId="10">'Evidencia Fotografica'!$2:$6</definedName>
    <definedName name="_xlnm.Print_Titles" localSheetId="1">'Plan de pagos'!$17:$17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8" i="11" l="1"/>
  <c r="D12" i="12"/>
  <c r="C8" i="12"/>
  <c r="E8" i="12"/>
  <c r="E7" i="12"/>
  <c r="E6" i="12"/>
  <c r="P10" i="5" l="1"/>
  <c r="E47" i="11"/>
  <c r="E46" i="11" a="1"/>
  <c r="E46" i="11" s="1"/>
  <c r="E45" i="11"/>
  <c r="E44" i="11"/>
  <c r="F6" i="5"/>
  <c r="C5" i="11" l="1" a="1"/>
  <c r="C5" i="11" s="1"/>
  <c r="C7" i="12" s="1"/>
  <c r="C4" i="11" a="1"/>
  <c r="C4" i="11" s="1"/>
  <c r="C6" i="12" s="1"/>
  <c r="D13" i="12"/>
  <c r="D10" i="11" l="1"/>
  <c r="C22" i="12"/>
  <c r="C25" i="12" s="1"/>
  <c r="C21" i="12"/>
  <c r="H18" i="12"/>
  <c r="D17" i="12"/>
  <c r="D39" i="11"/>
  <c r="E38" i="11" s="1"/>
  <c r="D34" i="11"/>
  <c r="E30" i="11" s="1"/>
  <c r="E31" i="11" l="1"/>
  <c r="E32" i="11"/>
  <c r="E33" i="11"/>
  <c r="E67" i="11"/>
  <c r="C14" i="12"/>
  <c r="D14" i="12" s="1"/>
  <c r="E59" i="11"/>
  <c r="D15" i="11"/>
  <c r="E10" i="11" s="1"/>
  <c r="E29" i="11"/>
  <c r="E34" i="11" s="1"/>
  <c r="E36" i="11"/>
  <c r="E41" i="11"/>
  <c r="E35" i="11"/>
  <c r="E39" i="11" s="1"/>
  <c r="E14" i="11" l="1"/>
  <c r="E13" i="11"/>
  <c r="D16" i="11"/>
  <c r="E16" i="11" s="1"/>
  <c r="E12" i="11"/>
  <c r="E11" i="11"/>
  <c r="E15" i="11" l="1"/>
  <c r="D17" i="11"/>
  <c r="E64" i="11" l="1"/>
  <c r="D19" i="11"/>
  <c r="D26" i="11" s="1"/>
  <c r="E61" i="11"/>
  <c r="E55" i="11"/>
  <c r="E63" i="11"/>
  <c r="E17" i="11"/>
  <c r="E60" i="11"/>
  <c r="E65" i="11"/>
  <c r="E62" i="11"/>
  <c r="E21" i="11" l="1"/>
  <c r="E25" i="11"/>
  <c r="E23" i="11"/>
  <c r="E20" i="11"/>
  <c r="E24" i="11"/>
  <c r="E22" i="11"/>
  <c r="E49" i="11"/>
  <c r="E19" i="11"/>
  <c r="E26" i="11" l="1"/>
  <c r="B15" i="8" l="1"/>
  <c r="B19" i="8" s="1"/>
  <c r="B21" i="8" s="1"/>
  <c r="F18" i="5" l="1"/>
  <c r="D18" i="5" l="1"/>
  <c r="E18" i="5"/>
  <c r="C18" i="5"/>
  <c r="J7" i="5" l="1"/>
  <c r="C6" i="7" l="1"/>
  <c r="F7" i="5" l="1"/>
  <c r="E48" i="11" s="1" a="1"/>
  <c r="E48" i="11" s="1"/>
  <c r="O19" i="5" l="1"/>
  <c r="O20" i="5"/>
  <c r="L19" i="5"/>
  <c r="J10" i="5"/>
  <c r="C5" i="7"/>
  <c r="C4" i="7"/>
  <c r="J19" i="5" l="1"/>
  <c r="M19" i="5" s="1"/>
  <c r="J8" i="5"/>
  <c r="J9" i="5" s="1"/>
  <c r="N19" i="5" l="1"/>
  <c r="F19" i="5"/>
  <c r="L20" i="5" s="1"/>
  <c r="J20" i="5" s="1"/>
  <c r="M20" i="5" s="1"/>
  <c r="O21" i="5"/>
  <c r="P19" i="5" l="1"/>
  <c r="F20" i="5"/>
  <c r="N20" i="5"/>
  <c r="J21" i="5"/>
  <c r="L21" i="5"/>
  <c r="C15" i="12" l="1"/>
  <c r="D15" i="12" s="1"/>
  <c r="E50" i="11"/>
  <c r="F6" i="8" a="1"/>
  <c r="F6" i="8" s="1"/>
  <c r="C16" i="12" l="1"/>
  <c r="D16" i="12" s="1"/>
  <c r="E66" i="11"/>
  <c r="E57" i="11"/>
  <c r="E56" i="11"/>
  <c r="E51" i="11"/>
  <c r="E52" i="11" s="1"/>
  <c r="E53" i="11"/>
  <c r="K7" i="8"/>
  <c r="N7" i="8"/>
  <c r="F7" i="8" l="1" a="1"/>
  <c r="F7" i="8" s="1"/>
  <c r="I7" i="8" a="1"/>
  <c r="I7" i="8" s="1"/>
  <c r="C19" i="5"/>
  <c r="B19" i="5" l="1"/>
  <c r="M7" i="8"/>
  <c r="L7" i="8"/>
  <c r="E19" i="5"/>
  <c r="E7" i="8" s="1"/>
  <c r="C7" i="8"/>
  <c r="D19" i="5"/>
  <c r="D7" i="8" s="1"/>
  <c r="O7" i="8" l="1"/>
  <c r="I8" i="8" a="1"/>
  <c r="I8" i="8" s="1"/>
  <c r="N8" i="8"/>
  <c r="C20" i="5"/>
  <c r="C8" i="8" s="1"/>
  <c r="K8" i="8"/>
  <c r="F8" i="8" a="1"/>
  <c r="F8" i="8" s="1"/>
  <c r="B7" i="8"/>
  <c r="P20" i="5" l="1"/>
  <c r="P21" i="5" s="1"/>
  <c r="L8" i="8"/>
  <c r="M21" i="5"/>
  <c r="M8" i="8"/>
  <c r="N21" i="5"/>
  <c r="E20" i="5"/>
  <c r="E8" i="8" s="1"/>
  <c r="D20" i="5"/>
  <c r="D8" i="8" s="1"/>
  <c r="M9" i="8" l="1"/>
  <c r="B18" i="8" s="1"/>
  <c r="O8" i="8"/>
  <c r="B20" i="5"/>
  <c r="B8" i="8" s="1"/>
  <c r="O9" i="8" l="1"/>
  <c r="L9" i="8"/>
  <c r="B17" i="8" s="1"/>
  <c r="K9" i="8" l="1"/>
  <c r="B16" i="8" s="1"/>
  <c r="B22" i="8" s="1"/>
  <c r="N9" i="8" l="1"/>
  <c r="I9" i="8" a="1"/>
  <c r="I9"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tc={01194A59-06DA-4DC8-B7F5-CDF77A280F33}</author>
    <author>tc={B2750E12-A6E8-447A-BF40-A8C8B00354B6}</author>
    <author>tc={CF0BE1DB-AC65-418D-B05C-7E7FD9EFFEFC}</author>
    <author>tc={9BEAB1CF-B0EE-41A9-9C03-64BF6592EDC1}</author>
    <author>tc={33DF8C03-0594-460F-A272-33EF42E7398D}</author>
    <author>tc={8ECA683F-7ADD-4001-B057-6B9DA0CC7C44}</author>
    <author>tc={159544C7-1E6B-496A-AAF1-F11913B8795F}</author>
  </authors>
  <commentList>
    <comment ref="B16" authorId="0" shapeId="0" xr:uid="{00000000-0006-0000-0000-000001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El interés aplicado al crédito, es de acuerdo al cambio informado por las autoridades nacionales (superintendencia financiera de colombia). Las cuales certifican la tasa maxima que puede ser cobrada en el mes.</t>
        </r>
      </text>
    </comment>
    <comment ref="B17" authorId="1" shapeId="0" xr:uid="{00000000-0006-0000-0000-000002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Póliza de aseguramiento sobre el valor del crédito, en caso de muerte o invalidez total del titular.</t>
        </r>
      </text>
    </comment>
    <comment ref="B18" authorId="2" shapeId="0" xr:uid="{00000000-0006-0000-0000-000003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Corresponde al fondo de cobertura, entidad que avala y representa garantías para el pago de tu préstamo. Este valor incluye IVA.</t>
        </r>
      </text>
    </comment>
    <comment ref="B19" authorId="3" shapeId="0" xr:uid="{00000000-0006-0000-0000-000004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Cargo aplicado a la instrumentación digital del prestamo. Incluye IVA</t>
        </r>
      </text>
    </comment>
    <comment ref="B20" authorId="4" shapeId="0" xr:uid="{00000000-0006-0000-0000-000005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Tarifa asociada a la creación y  mantenimiento de tu prestamo, la cual se suma al valor capital del crédito.</t>
        </r>
      </text>
    </comment>
    <comment ref="B21" authorId="5" shapeId="0" xr:uid="{00000000-0006-0000-0000-000006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Finalco busca promoveer el uso de herramientas tecnologicas que facilitan el acceso de crédito a personas. Por lo cual se genera esta bonificación de inclusión financiera.</t>
        </r>
      </text>
    </comment>
    <comment ref="B22" authorId="6" shapeId="0" xr:uid="{00000000-0006-0000-0000-000007000000}">
      <text>
        <r>
          <rPr>
            <sz val="11"/>
            <color theme="1"/>
            <rFont val="Calibri"/>
            <family val="2"/>
            <scheme val="minor"/>
          </rPr>
          <t>[Comentario encadenado]
Su versión de Excel le permite leer este comentario encadenado; sin embargo, las ediciones que se apliquen se quitarán si el archivo se abre en una versión más reciente de Excel. Más información: https://go.microsoft.com/fwlink/?linkid=870924
Comentario:
    Este valor corresponde a una simulación de tu crédito, según los datos seleccionados por ti.</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<sst xmlns="http://schemas.openxmlformats.org/spreadsheetml/2006/main" count="310" uniqueCount="272">
  <si>
    <t>Intereses</t>
  </si>
  <si>
    <t xml:space="preserve">TABLA DE AMORTIZACION DE CREDITOS CON CUOTAS FIJAS </t>
  </si>
  <si>
    <t>DIGITE LA INFORMACIÓN</t>
  </si>
  <si>
    <t>Valor del Crédito</t>
  </si>
  <si>
    <t>Efectiva Anual:</t>
  </si>
  <si>
    <t>Tasa (mensual):</t>
  </si>
  <si>
    <t>EMV:</t>
  </si>
  <si>
    <t>Tiempo (meses):</t>
  </si>
  <si>
    <t>ETV:</t>
  </si>
  <si>
    <t xml:space="preserve">Solicitante: </t>
  </si>
  <si>
    <t>ETA:</t>
  </si>
  <si>
    <t>Día</t>
  </si>
  <si>
    <t>Mes</t>
  </si>
  <si>
    <t>Año</t>
  </si>
  <si>
    <t xml:space="preserve">TABLA DE AMORTIZACION CUOTA FIJA </t>
  </si>
  <si>
    <t>MONTO DEL CREDITO</t>
  </si>
  <si>
    <t>Cuota</t>
  </si>
  <si>
    <t>Saldo capital</t>
  </si>
  <si>
    <t>Abono capital</t>
  </si>
  <si>
    <t>Destino del crédito</t>
  </si>
  <si>
    <t>Solicitante</t>
  </si>
  <si>
    <t>TOTAL</t>
  </si>
  <si>
    <t>Solicitado</t>
  </si>
  <si>
    <t>Aprobado</t>
  </si>
  <si>
    <t>Cédula:</t>
  </si>
  <si>
    <t>Fechas pago del crédito</t>
  </si>
  <si>
    <t>Vida Deudores</t>
  </si>
  <si>
    <t>Nom Anual</t>
  </si>
  <si>
    <t>Doc de Identidad</t>
  </si>
  <si>
    <t>EVIDENCIA FOTOGRAFICA</t>
  </si>
  <si>
    <t>Destino Crédito:</t>
  </si>
  <si>
    <t>Entidad Trabajo:</t>
  </si>
  <si>
    <t>Cargo:</t>
  </si>
  <si>
    <t>Linea de crédito</t>
  </si>
  <si>
    <t>Libre Destino</t>
  </si>
  <si>
    <t>Bajo Monto</t>
  </si>
  <si>
    <t>Libranza</t>
  </si>
  <si>
    <t>EVIDENCIA FOTOGRAFICA DEL SITIO DE TRABAJO Y DEL CLIENTE</t>
  </si>
  <si>
    <t>MAPA DE UBICACIÓN DEL CLIENTE</t>
  </si>
  <si>
    <t>FIANZA</t>
  </si>
  <si>
    <t>Modalidad</t>
  </si>
  <si>
    <t>Mensual</t>
  </si>
  <si>
    <t>Nivel de Riesgo</t>
  </si>
  <si>
    <t>CONVERSIÓN DE TASAS</t>
  </si>
  <si>
    <t>Fianza</t>
  </si>
  <si>
    <t>Fecha de vencimiento</t>
  </si>
  <si>
    <t>FINAMIGO</t>
  </si>
  <si>
    <t>Valor solicitado</t>
  </si>
  <si>
    <t>Interés</t>
  </si>
  <si>
    <t>Seguro vida</t>
  </si>
  <si>
    <t>Administración</t>
  </si>
  <si>
    <t>Descuento (por inclusión financiera)</t>
  </si>
  <si>
    <t>Fianza + IVA</t>
  </si>
  <si>
    <t>Total a pagar</t>
  </si>
  <si>
    <t>Tecnología + IVA</t>
  </si>
  <si>
    <t>Plan de pagos: Carta de bienvenida</t>
  </si>
  <si>
    <t>Simulador:</t>
  </si>
  <si>
    <t>Preguntas reto</t>
  </si>
  <si>
    <t>Consideraciones, siempre se debe preguntar:
- Fecha de expedición de CC
-3 preguntas de datacrédito (minimo una afirmativa y una negativa)</t>
  </si>
  <si>
    <t xml:space="preserve">Registro fotografico de Selfie </t>
  </si>
  <si>
    <t>Cedula Cara 1</t>
  </si>
  <si>
    <t>Cedula Cara 2</t>
  </si>
  <si>
    <t>C.C No.</t>
  </si>
  <si>
    <t>Estado de Ingresos y Resultados</t>
  </si>
  <si>
    <t>Valor</t>
  </si>
  <si>
    <t>% Partc</t>
  </si>
  <si>
    <t>Ingreso Reportado cliente</t>
  </si>
  <si>
    <t>QUANTO ingreso medio</t>
  </si>
  <si>
    <t>Entradas Mensuales</t>
  </si>
  <si>
    <t>Ingresos Brutos (salario, pensión, contratos)</t>
  </si>
  <si>
    <t>Comisiones, Rodamiento, Bonificaciones</t>
  </si>
  <si>
    <t>Arriendos</t>
  </si>
  <si>
    <t>Rendimientos Financieros</t>
  </si>
  <si>
    <t>Otros ingresos</t>
  </si>
  <si>
    <t>TOTAL INGRESOS</t>
  </si>
  <si>
    <t>Descuentos de Ley</t>
  </si>
  <si>
    <t>TOTAL INGRESOS NETOS</t>
  </si>
  <si>
    <t>Salidas Mensuales</t>
  </si>
  <si>
    <t>Gastos de sostenimiento</t>
  </si>
  <si>
    <t>Arrendamientos</t>
  </si>
  <si>
    <t>Manutención hijos (10% salario c/u)</t>
  </si>
  <si>
    <t>Cuotas Créditos</t>
  </si>
  <si>
    <t>Cuotas tarjetas</t>
  </si>
  <si>
    <t>Cuotas deudas particulares</t>
  </si>
  <si>
    <t>Otros Gastos</t>
  </si>
  <si>
    <t>TOTAL GASTOS</t>
  </si>
  <si>
    <t>Balance General</t>
  </si>
  <si>
    <t>Activos</t>
  </si>
  <si>
    <t>Bienes Inmuebles</t>
  </si>
  <si>
    <t>Vehículos</t>
  </si>
  <si>
    <t>Muebles y enseres</t>
  </si>
  <si>
    <t>Maquinaria y Equipo</t>
  </si>
  <si>
    <t>Otros</t>
  </si>
  <si>
    <t>TOTAL ACTIVOS</t>
  </si>
  <si>
    <t>Pasivos</t>
  </si>
  <si>
    <t>Deudas con Bancos</t>
  </si>
  <si>
    <t>Deudas Particulares</t>
  </si>
  <si>
    <t>Deudas Compra de cartera Finalco y Bancos</t>
  </si>
  <si>
    <t>N/A</t>
  </si>
  <si>
    <t xml:space="preserve">Deudas Proveedores </t>
  </si>
  <si>
    <t>TOTAL PASIVOS</t>
  </si>
  <si>
    <t>Patrimonio</t>
  </si>
  <si>
    <t>Vr. Patrimonio Neto</t>
  </si>
  <si>
    <t>Indicadores de análisis</t>
  </si>
  <si>
    <t>Monto del crédito Solicitado</t>
  </si>
  <si>
    <t>Información</t>
  </si>
  <si>
    <t>Monto del crédito Aprobado</t>
  </si>
  <si>
    <t>del crédito</t>
  </si>
  <si>
    <t>Plazo</t>
  </si>
  <si>
    <t>Tasa de interés efectiva anual</t>
  </si>
  <si>
    <t>Tasa de interés efectiva mensual</t>
  </si>
  <si>
    <t>Dinero disponible del solicitante una vez deducido sus gastos actuales</t>
  </si>
  <si>
    <t>Cuota mensual a pagar por la cuota Finalco</t>
  </si>
  <si>
    <t>Dinero disponible una vez pagado credito Finalco</t>
  </si>
  <si>
    <t>Valor insoluto disponible</t>
  </si>
  <si>
    <t>Relación de la cuota vs el dinero disponible.</t>
  </si>
  <si>
    <t>Nuevo crédito aprobado vs Patrimonio</t>
  </si>
  <si>
    <t>Total cuotas actuales vs ingresos neto</t>
  </si>
  <si>
    <t>Indicadores</t>
  </si>
  <si>
    <r>
      <t>Relación cuota vs ingresos (</t>
    </r>
    <r>
      <rPr>
        <i/>
        <sz val="10"/>
        <color theme="1"/>
        <rFont val="Calibri"/>
        <family val="2"/>
        <scheme val="minor"/>
      </rPr>
      <t>Cuota mensual / Ingresos Netos</t>
    </r>
    <r>
      <rPr>
        <sz val="10"/>
        <color theme="1"/>
        <rFont val="Calibri"/>
        <family val="2"/>
        <scheme val="minor"/>
      </rPr>
      <t>)</t>
    </r>
  </si>
  <si>
    <t>Total cuotas actuales + Nueva cuota Finalco vs Ingresos netos</t>
  </si>
  <si>
    <r>
      <t>Nivel de Endeudamiento actual</t>
    </r>
    <r>
      <rPr>
        <i/>
        <sz val="10"/>
        <color theme="1"/>
        <rFont val="Calibri"/>
        <family val="2"/>
        <scheme val="minor"/>
      </rPr>
      <t xml:space="preserve"> (Total Pasivos  actuales / Total Activos)</t>
    </r>
  </si>
  <si>
    <r>
      <t xml:space="preserve">Nuevo Nivel de Endeudamiento </t>
    </r>
    <r>
      <rPr>
        <i/>
        <sz val="10"/>
        <color theme="1"/>
        <rFont val="Calibri"/>
        <family val="2"/>
        <scheme val="minor"/>
      </rPr>
      <t>(Total Pasivos  / Total Activos)</t>
    </r>
  </si>
  <si>
    <r>
      <t xml:space="preserve">Endeudamiento ingresos actual (Total </t>
    </r>
    <r>
      <rPr>
        <i/>
        <sz val="10"/>
        <color theme="1"/>
        <rFont val="Calibri"/>
        <family val="2"/>
        <scheme val="minor"/>
      </rPr>
      <t>Pasivos actuales / Ingresos netos</t>
    </r>
    <r>
      <rPr>
        <sz val="10"/>
        <color theme="1"/>
        <rFont val="Calibri"/>
        <family val="2"/>
        <scheme val="minor"/>
      </rPr>
      <t>) veces</t>
    </r>
  </si>
  <si>
    <r>
      <t>Endeudamiento ingresos total (</t>
    </r>
    <r>
      <rPr>
        <i/>
        <sz val="10"/>
        <color theme="1"/>
        <rFont val="Calibri"/>
        <family val="2"/>
        <scheme val="minor"/>
      </rPr>
      <t>Total Pasivo + Nuevo Crédito)/(Ingresos netos</t>
    </r>
    <r>
      <rPr>
        <sz val="10"/>
        <color theme="1"/>
        <rFont val="Calibri"/>
        <family val="2"/>
        <scheme val="minor"/>
      </rPr>
      <t>) veces</t>
    </r>
  </si>
  <si>
    <t>Gasto de sostenimiento (30%)</t>
  </si>
  <si>
    <t>Referentes</t>
  </si>
  <si>
    <t>Gasto por cada persona a cargo (10%)</t>
  </si>
  <si>
    <t>de control</t>
  </si>
  <si>
    <t>Limite superior de Crédito segun ingresos netos vigentes</t>
  </si>
  <si>
    <t>Minimo disponible para imprevistos</t>
  </si>
  <si>
    <t>Ingreso mínimo requerido</t>
  </si>
  <si>
    <t>Maximo descuento por Libranza permitido</t>
  </si>
  <si>
    <t>HOJA DE ANALISIS</t>
  </si>
  <si>
    <t>Entidad Trabajo</t>
  </si>
  <si>
    <t>Cargo</t>
  </si>
  <si>
    <t>Linea</t>
  </si>
  <si>
    <t>Parametros aprobación o rechazo</t>
  </si>
  <si>
    <t>Detalle</t>
  </si>
  <si>
    <t>Decisión de Préstamo</t>
  </si>
  <si>
    <t>Puntaje en centrales de riesgo</t>
  </si>
  <si>
    <t>Quanto medio</t>
  </si>
  <si>
    <t>Capacidad de pago</t>
  </si>
  <si>
    <t>SI</t>
  </si>
  <si>
    <t>Solicita un monto menor o igual a $</t>
  </si>
  <si>
    <t>Concepto de la solicitud - Ejecutivo de Cuenta</t>
  </si>
  <si>
    <t>NO</t>
  </si>
  <si>
    <t>Monto Solicitado</t>
  </si>
  <si>
    <t>Monto Aprobado</t>
  </si>
  <si>
    <t xml:space="preserve">Compra de cartera </t>
  </si>
  <si>
    <t>Descuentos</t>
  </si>
  <si>
    <t>Neto a Desembolsar</t>
  </si>
  <si>
    <t>Concepto de la solicitud - Comité de Crédito</t>
  </si>
  <si>
    <t>Fecha:</t>
  </si>
  <si>
    <t>Firmas</t>
  </si>
  <si>
    <t>Marcación de si cliente (empleado) es cotizante (Adress)</t>
  </si>
  <si>
    <r>
      <t xml:space="preserve">6. Me puede indicar por favor si ud. Tiene una cuenta activa con operador movil____ (validar en datacrédito con el que </t>
    </r>
    <r>
      <rPr>
        <b/>
        <sz val="11"/>
        <color rgb="FFFF0000"/>
        <rFont val="Calibri"/>
        <family val="2"/>
        <scheme val="minor"/>
      </rPr>
      <t>NO</t>
    </r>
    <r>
      <rPr>
        <sz val="11"/>
        <color theme="1"/>
        <rFont val="Calibri"/>
        <family val="2"/>
        <scheme val="minor"/>
      </rPr>
      <t xml:space="preserve"> tenga producto). Rta negativa</t>
    </r>
  </si>
  <si>
    <t>Hipervinculo</t>
  </si>
  <si>
    <r>
      <rPr>
        <b/>
        <u/>
        <sz val="11"/>
        <color theme="10"/>
        <rFont val="Calibri"/>
        <family val="2"/>
        <scheme val="minor"/>
      </rPr>
      <t>Rta. Positiva:</t>
    </r>
    <r>
      <rPr>
        <u/>
        <sz val="11"/>
        <color theme="10"/>
        <rFont val="Calibri"/>
        <family val="2"/>
        <scheme val="minor"/>
      </rPr>
      <t xml:space="preserve"> De acuerdo (realizar Preguntas reto)</t>
    </r>
  </si>
  <si>
    <r>
      <rPr>
        <b/>
        <sz val="11"/>
        <color theme="1"/>
        <rFont val="Calibri"/>
        <family val="2"/>
        <scheme val="minor"/>
      </rPr>
      <t xml:space="preserve">Rta negativa: </t>
    </r>
    <r>
      <rPr>
        <sz val="11"/>
        <color theme="1"/>
        <rFont val="Calibri"/>
        <family val="2"/>
        <scheme val="minor"/>
      </rPr>
      <t>Entiendo, en que horario puedo llamarlo nuevamente.
Entonces me contactare en ese horario. Recuerde que hablo con ____________ de Finalco SAS. Que tenga buen resto de día.</t>
    </r>
  </si>
  <si>
    <t>GUIÓN PRE-APROBADO FINAMIGO</t>
  </si>
  <si>
    <t xml:space="preserve">Cliente pasa el filtro, debe responder 3/4: </t>
  </si>
  <si>
    <t>¿Tiene alguna duda con la información brindada?</t>
  </si>
  <si>
    <r>
      <t xml:space="preserve">Cliente </t>
    </r>
    <r>
      <rPr>
        <b/>
        <sz val="11"/>
        <color rgb="FFFF0000"/>
        <rFont val="Calibri"/>
        <family val="2"/>
        <scheme val="minor"/>
      </rPr>
      <t>NO</t>
    </r>
    <r>
      <rPr>
        <b/>
        <sz val="11"/>
        <color theme="1"/>
        <rFont val="Calibri"/>
        <family val="2"/>
        <scheme val="minor"/>
      </rPr>
      <t xml:space="preserve"> pasa el filtro, debe responder 3/4: </t>
    </r>
  </si>
  <si>
    <t>Muchas gracias por atender mi llamada, recuerde que hablo con ____________ de Finalco SAS. Que tenga buen resto de día.</t>
  </si>
  <si>
    <t>Perfecto sr(a)________ las respuestas fueron correctas, por lo cual procedo a indicarle las condiciones del crédito: 
Monto:________
Plazo:_________
Valor cuota:______________
Fecha de pago:___________</t>
  </si>
  <si>
    <t>Saludo</t>
  </si>
  <si>
    <t>Preguntas Reto</t>
  </si>
  <si>
    <t>Firma Pagaré</t>
  </si>
  <si>
    <t>Despedida</t>
  </si>
  <si>
    <t>https://finalco.com.co/firma_pagare/</t>
  </si>
  <si>
    <t>0. Me puede indicar por favor la fecha y lugar de expedición de su CC (cliente debe responder rapidamente)</t>
  </si>
  <si>
    <t xml:space="preserve">Sr(a)________, lamento informarle que fallamos en las respuestas de seguridad, por lo cual el sistema rechaza automaticamente su solicitud de crédito. 
Recuerde que hablo con ____________ de Finalco SAS. Que tenga buen resto de día.
</t>
  </si>
  <si>
    <r>
      <t xml:space="preserve">condiciones de crédito </t>
    </r>
    <r>
      <rPr>
        <b/>
        <sz val="11"/>
        <color rgb="FFFF0000"/>
        <rFont val="Calibri"/>
        <family val="2"/>
        <scheme val="minor"/>
      </rPr>
      <t>en caso de que cambie el valor de la solicitud</t>
    </r>
  </si>
  <si>
    <r>
      <rPr>
        <b/>
        <sz val="11"/>
        <color theme="1"/>
        <rFont val="Calibri"/>
        <family val="2"/>
        <scheme val="minor"/>
      </rPr>
      <t>Rta. Positiva:</t>
    </r>
    <r>
      <rPr>
        <sz val="11"/>
        <color theme="1"/>
        <rFont val="Calibri"/>
        <family val="2"/>
        <scheme val="minor"/>
      </rPr>
      <t xml:space="preserve"> Le confirmo el proceso para firmar el pagaré y aprobar la solicitud.
</t>
    </r>
    <r>
      <rPr>
        <b/>
        <sz val="11"/>
        <color theme="1"/>
        <rFont val="Calibri"/>
        <family val="2"/>
        <scheme val="minor"/>
      </rPr>
      <t>Rta negativa:</t>
    </r>
    <r>
      <rPr>
        <sz val="11"/>
        <color theme="1"/>
        <rFont val="Calibri"/>
        <family val="2"/>
        <scheme val="minor"/>
      </rPr>
      <t xml:space="preserve"> Resolver inquietud</t>
    </r>
  </si>
  <si>
    <t>Recuerde que una vez quede aprobado el préstamo le llegará un correo informandolo y cuando se realice el desembolso, le llegara una carta de bienvenida con la información del crédito y los canales de pago.</t>
  </si>
  <si>
    <t>A su correo electronico le va a llegar en unos minutos un email para la firma de pagaré digital. A su whatsapp le voy a enviar el link del video donde explica como hacer el proceso, el cual es muy sencillo.
Inmediatamente quede firmado el documento, a ud. Le llega una copia a su correo.</t>
  </si>
  <si>
    <r>
      <t>1.  Me puede indicar por favor si ud. Tiene una cuenta activa de ______ (crédito o TDC) con el banco (</t>
    </r>
    <r>
      <rPr>
        <u/>
        <sz val="11"/>
        <color theme="1"/>
        <rFont val="Calibri"/>
        <family val="2"/>
        <scheme val="minor"/>
      </rPr>
      <t>Validar en datacrédito un banco con el que</t>
    </r>
    <r>
      <rPr>
        <b/>
        <u/>
        <sz val="11"/>
        <color theme="1"/>
        <rFont val="Calibri"/>
        <family val="2"/>
        <scheme val="minor"/>
      </rPr>
      <t xml:space="preserve"> </t>
    </r>
    <r>
      <rPr>
        <b/>
        <u/>
        <sz val="11"/>
        <color rgb="FFFF0000"/>
        <rFont val="Calibri"/>
        <family val="2"/>
        <scheme val="minor"/>
      </rPr>
      <t>SI</t>
    </r>
    <r>
      <rPr>
        <u/>
        <sz val="11"/>
        <color theme="1"/>
        <rFont val="Calibri"/>
        <family val="2"/>
        <scheme val="minor"/>
      </rPr>
      <t xml:space="preserve"> tenga producto</t>
    </r>
    <r>
      <rPr>
        <sz val="11"/>
        <color theme="1"/>
        <rFont val="Calibri"/>
        <family val="2"/>
        <scheme val="minor"/>
      </rPr>
      <t>). Rta Afirmativa</t>
    </r>
  </si>
  <si>
    <r>
      <t>2. Me puede indicar por favor si ud. Tiene una cuenta activa de______(crédito o TDC) con el banco (Validar en datacrédito un banco con el que</t>
    </r>
    <r>
      <rPr>
        <b/>
        <sz val="11"/>
        <color rgb="FFFF0000"/>
        <rFont val="Calibri"/>
        <family val="2"/>
        <scheme val="minor"/>
      </rPr>
      <t xml:space="preserve"> NO</t>
    </r>
    <r>
      <rPr>
        <sz val="11"/>
        <color theme="1"/>
        <rFont val="Calibri"/>
        <family val="2"/>
        <scheme val="minor"/>
      </rPr>
      <t xml:space="preserve"> tenga producto). Rta negativa</t>
    </r>
  </si>
  <si>
    <r>
      <t xml:space="preserve">3. Me puede indicar por favor si ud. Tiene una cuenta activa de ahorros con el banco </t>
    </r>
    <r>
      <rPr>
        <u/>
        <sz val="11"/>
        <color theme="1"/>
        <rFont val="Calibri"/>
        <family val="2"/>
        <scheme val="minor"/>
      </rPr>
      <t xml:space="preserve">(Validar en datacrédito un banco con el que </t>
    </r>
    <r>
      <rPr>
        <b/>
        <u/>
        <sz val="11"/>
        <color rgb="FFFF0000"/>
        <rFont val="Calibri"/>
        <family val="2"/>
        <scheme val="minor"/>
      </rPr>
      <t>NO</t>
    </r>
    <r>
      <rPr>
        <u/>
        <sz val="11"/>
        <color theme="1"/>
        <rFont val="Calibri"/>
        <family val="2"/>
        <scheme val="minor"/>
      </rPr>
      <t xml:space="preserve"> tenga producto)</t>
    </r>
    <r>
      <rPr>
        <sz val="11"/>
        <color theme="1"/>
        <rFont val="Calibri"/>
        <family val="2"/>
        <scheme val="minor"/>
      </rPr>
      <t>. Rta negativa</t>
    </r>
  </si>
  <si>
    <r>
      <t>4. Me puede indicar por favor si ud. Tiene una cuenta activa de ahorros con el banco (</t>
    </r>
    <r>
      <rPr>
        <u/>
        <sz val="11"/>
        <color theme="1"/>
        <rFont val="Calibri"/>
        <family val="2"/>
        <scheme val="minor"/>
      </rPr>
      <t>Validar en datacrédito un banco con el que</t>
    </r>
    <r>
      <rPr>
        <b/>
        <u/>
        <sz val="11"/>
        <color rgb="FFFF0000"/>
        <rFont val="Calibri"/>
        <family val="2"/>
        <scheme val="minor"/>
      </rPr>
      <t xml:space="preserve"> SI </t>
    </r>
    <r>
      <rPr>
        <u/>
        <sz val="11"/>
        <color theme="1"/>
        <rFont val="Calibri"/>
        <family val="2"/>
        <scheme val="minor"/>
      </rPr>
      <t>tenga producto</t>
    </r>
    <r>
      <rPr>
        <sz val="11"/>
        <color theme="1"/>
        <rFont val="Calibri"/>
        <family val="2"/>
        <scheme val="minor"/>
      </rPr>
      <t>). Rta Afirmativa</t>
    </r>
  </si>
  <si>
    <r>
      <t>5. Me puede indicar por favor si ud. Tiene una cuenta activa con operador movil____ (validar en datacrédito con el que</t>
    </r>
    <r>
      <rPr>
        <b/>
        <sz val="11"/>
        <color rgb="FFFF0000"/>
        <rFont val="Calibri"/>
        <family val="2"/>
        <scheme val="minor"/>
      </rPr>
      <t xml:space="preserve"> SI </t>
    </r>
    <r>
      <rPr>
        <sz val="11"/>
        <color theme="1"/>
        <rFont val="Calibri"/>
        <family val="2"/>
        <scheme val="minor"/>
      </rPr>
      <t>tenga producto). Rta afirmativa</t>
    </r>
  </si>
  <si>
    <r>
      <t xml:space="preserve">, por lo que requerimos realizar unas </t>
    </r>
    <r>
      <rPr>
        <b/>
        <sz val="11"/>
        <color theme="1"/>
        <rFont val="Calibri"/>
        <family val="2"/>
        <scheme val="minor"/>
      </rPr>
      <t>preguntas de seguridad, para validar su identidad.</t>
    </r>
    <r>
      <rPr>
        <sz val="11"/>
        <color theme="1"/>
        <rFont val="Calibri"/>
        <family val="2"/>
        <scheme val="minor"/>
      </rPr>
      <t xml:space="preserve">
Quisiera conocer si ud. dispone de unos minutos para atender la llamada, de salir </t>
    </r>
    <r>
      <rPr>
        <b/>
        <sz val="11"/>
        <color theme="1"/>
        <rFont val="Calibri"/>
        <family val="2"/>
        <scheme val="minor"/>
      </rPr>
      <t>positivas las respuestas</t>
    </r>
    <r>
      <rPr>
        <sz val="11"/>
        <color theme="1"/>
        <rFont val="Calibri"/>
        <family val="2"/>
        <scheme val="minor"/>
      </rPr>
      <t xml:space="preserve"> procedemos a brindar las c</t>
    </r>
    <r>
      <rPr>
        <b/>
        <sz val="11"/>
        <color theme="1"/>
        <rFont val="Calibri"/>
        <family val="2"/>
        <scheme val="minor"/>
      </rPr>
      <t>ondiciones del crédito y firmar el pagaré digital.</t>
    </r>
  </si>
  <si>
    <r>
      <t xml:space="preserve">Buen día sr(a)________________, Habla con __________ del aréa de crédito de Finalco SAS. 
¿Como se encuentra el día de hoy?
</t>
    </r>
    <r>
      <rPr>
        <b/>
        <sz val="11"/>
        <color theme="1"/>
        <rFont val="Calibri"/>
        <family val="2"/>
        <scheme val="minor"/>
      </rPr>
      <t xml:space="preserve">Rta. Positiva: </t>
    </r>
    <r>
      <rPr>
        <sz val="11"/>
        <color theme="1"/>
        <rFont val="Calibri"/>
        <family val="2"/>
        <scheme val="minor"/>
      </rPr>
      <t xml:space="preserve">Me alegra 
</t>
    </r>
    <r>
      <rPr>
        <b/>
        <sz val="11"/>
        <color theme="1"/>
        <rFont val="Calibri"/>
        <family val="2"/>
        <scheme val="minor"/>
      </rPr>
      <t xml:space="preserve">Rta negativa: </t>
    </r>
    <r>
      <rPr>
        <sz val="11"/>
        <color theme="1"/>
        <rFont val="Calibri"/>
        <family val="2"/>
        <scheme val="minor"/>
      </rPr>
      <t xml:space="preserve">Entiendo
El motivo de mi llamada, se debe a que ud. Solicito un préstamo Finamigo, el cual se encuentra en estado </t>
    </r>
    <r>
      <rPr>
        <b/>
        <sz val="11"/>
        <color theme="1"/>
        <rFont val="Calibri"/>
        <family val="2"/>
        <scheme val="minor"/>
      </rPr>
      <t>pre-aprobado</t>
    </r>
  </si>
  <si>
    <t>Le recuerdo tambien que este crédito es diferente al actual por lo que son dos cuotas apartes</t>
  </si>
  <si>
    <t>Cuota nueva + total gastos</t>
  </si>
  <si>
    <t>Confirmar la cuenta bancaria… Preguntar si tiene nequi o Bancolombia
La cuenta si o si debe estar a nombre del cliente</t>
  </si>
  <si>
    <t>FORMATO DE REFERENCIACION</t>
  </si>
  <si>
    <t>Referencia 1.</t>
  </si>
  <si>
    <t>Nombre</t>
  </si>
  <si>
    <t>Teléfono</t>
  </si>
  <si>
    <t>Parentesco</t>
  </si>
  <si>
    <t>Hace cuanto conoce al señor (a)</t>
  </si>
  <si>
    <r>
      <t xml:space="preserve">En qué lugar vive: </t>
    </r>
    <r>
      <rPr>
        <u/>
        <sz val="10.5"/>
        <color theme="1"/>
        <rFont val="Calibri"/>
        <family val="2"/>
        <scheme val="minor"/>
      </rPr>
      <t xml:space="preserve"> </t>
    </r>
  </si>
  <si>
    <t xml:space="preserve">hace cuánto tiempo: </t>
  </si>
  <si>
    <t>Cuál es la actividad principal:</t>
  </si>
  <si>
    <t xml:space="preserve">Arrendada </t>
  </si>
  <si>
    <t>Familiar</t>
  </si>
  <si>
    <t>Qué referencia me podría dar del señor (a):</t>
  </si>
  <si>
    <t>Referencia 2.</t>
  </si>
  <si>
    <t>Empresa (si es empleado)</t>
  </si>
  <si>
    <t>Cuantos hijos tiene</t>
  </si>
  <si>
    <t xml:space="preserve">de que edades </t>
  </si>
  <si>
    <t xml:space="preserve">propia </t>
  </si>
  <si>
    <t>Vive en casa:</t>
  </si>
  <si>
    <t>Certificación Laboral</t>
  </si>
  <si>
    <t>Nombre:</t>
  </si>
  <si>
    <t>Observaciones:</t>
  </si>
  <si>
    <t xml:space="preserve">Observaciones del Crédito: </t>
  </si>
  <si>
    <t>Asesor</t>
  </si>
  <si>
    <t>Asalariado / Independiente</t>
  </si>
  <si>
    <t xml:space="preserve"> ANALISIS FINANCIERO PAGO DE CREDITOS</t>
  </si>
  <si>
    <t>Finamigo</t>
  </si>
  <si>
    <t>https://www.youtube.com/watch?v=rIN4zjCPmq8</t>
  </si>
  <si>
    <t>Video descarga Daviplata cetificado</t>
  </si>
  <si>
    <t>https://www.youtube.com/watch?v=aYt_zxMKKwM&amp;t=5s</t>
  </si>
  <si>
    <t>Video descarga NEQUI cetificado</t>
  </si>
  <si>
    <t>Nota Finalco:</t>
  </si>
  <si>
    <t>Rta cliente:</t>
  </si>
  <si>
    <t xml:space="preserve">Direccion 2: </t>
  </si>
  <si>
    <t xml:space="preserve">Direccion 1: </t>
  </si>
  <si>
    <t>4.) Usted conoce o ha tenido contacto con alguna de las siguientes direcciones.?</t>
  </si>
  <si>
    <t>Rta:</t>
  </si>
  <si>
    <t>D.) Ninguna de las anteriores.</t>
  </si>
  <si>
    <t xml:space="preserve">C.) Bancolombia. </t>
  </si>
  <si>
    <t>B.) Juriscop.</t>
  </si>
  <si>
    <t xml:space="preserve">A.) Colpatria. </t>
  </si>
  <si>
    <t>3. ¿Con que banco tiene usted tarjeta de credito?</t>
  </si>
  <si>
    <t>C.) Pichincha.</t>
  </si>
  <si>
    <t>B.) Bogota.</t>
  </si>
  <si>
    <t>A.) Caja social.</t>
  </si>
  <si>
    <t xml:space="preserve">                PREGUNTAS </t>
  </si>
  <si>
    <t xml:space="preserve">2. ¿Con que banco usted tiene cuenta de ahorro? </t>
  </si>
  <si>
    <t xml:space="preserve">Rta: debe validar directamente en la cedula </t>
  </si>
  <si>
    <t>1. Me puede confirmar la fecha de expedición de su documento.</t>
  </si>
  <si>
    <t>Le recomendamos igualmente preste atención a las preguntas y a las respuestas ya que de este proceso depende la aprobación final del crédito. En caso de que las preguntas quede mal contestadas, el área de gestión de riesgo se comunicara posteriormente con usted.</t>
  </si>
  <si>
    <t xml:space="preserve">Le informamos que este procedimiento no tomara mucho tiempo y  será muy breve. </t>
  </si>
  <si>
    <t>El motivo de mi llamada se debe a que usted solicito un préstamo Finamigo, y para el desembolso se hace necesario validar su identidad.</t>
  </si>
  <si>
    <t xml:space="preserve">                  </t>
  </si>
  <si>
    <t xml:space="preserve">               </t>
  </si>
  <si>
    <t>Buen día sr(a)________________, Habla con __________ del área de crédito de Finalco SAS. 
¿Como se encuentra el día de hoy?
Rta. Positiva: Me alegra 
Rta negativa: Entiendo</t>
  </si>
  <si>
    <t xml:space="preserve">                   SALUDO</t>
  </si>
  <si>
    <t xml:space="preserve">                                                          GUION PREGUNTAS RETO FINAMIGO</t>
  </si>
  <si>
    <t>Puntaje Begini</t>
  </si>
  <si>
    <t>Very High Risk</t>
  </si>
  <si>
    <t>Low Risk</t>
  </si>
  <si>
    <t>Medium Risk</t>
  </si>
  <si>
    <t>Lowest Risk</t>
  </si>
  <si>
    <t>Very Low Risk</t>
  </si>
  <si>
    <t>High Risk</t>
  </si>
  <si>
    <t>Highest Risk</t>
  </si>
  <si>
    <t>Riesgo mas alto</t>
  </si>
  <si>
    <t>Riesgo alto</t>
  </si>
  <si>
    <t>Riesgo Medio</t>
  </si>
  <si>
    <t>Riesgo mas bajo</t>
  </si>
  <si>
    <t>Riesgo muy bajo</t>
  </si>
  <si>
    <t>Riesgo Bajo</t>
  </si>
  <si>
    <t>Riesgo muy alto</t>
  </si>
  <si>
    <t>No termino</t>
  </si>
  <si>
    <t>No contesto</t>
  </si>
  <si>
    <t>Z:\500AdmFinanciera\520Administrativa\520.11Grupos_Interes\Sistemas_informacion\Begini</t>
  </si>
  <si>
    <t>Tutorial begini</t>
  </si>
  <si>
    <t>Nombre archivo</t>
  </si>
  <si>
    <t>Alcance_Entendimiento_Proyecto</t>
  </si>
  <si>
    <t xml:space="preserve">Nombre Analista </t>
  </si>
  <si>
    <t xml:space="preserve"> BELTRAN GAITAN KATHERINE LORENA</t>
  </si>
  <si>
    <t>Capital de trabajo</t>
  </si>
  <si>
    <t>Eficacia</t>
  </si>
  <si>
    <t>Elite</t>
  </si>
  <si>
    <t>Dayana Garibello</t>
  </si>
  <si>
    <r>
      <rPr>
        <b/>
        <sz val="10"/>
        <color theme="1"/>
        <rFont val="Calibri"/>
        <family val="2"/>
        <scheme val="minor"/>
      </rPr>
      <t>Tipo crédito:Nuevo</t>
    </r>
    <r>
      <rPr>
        <sz val="10"/>
        <color theme="1"/>
        <rFont val="Calibri"/>
        <family val="2"/>
        <scheme val="minor"/>
      </rPr>
      <t xml:space="preserve">
</t>
    </r>
    <r>
      <rPr>
        <b/>
        <sz val="10"/>
        <color theme="1"/>
        <rFont val="Calibri"/>
        <family val="2"/>
        <scheme val="minor"/>
      </rPr>
      <t>Adres: Cotizante</t>
    </r>
    <r>
      <rPr>
        <sz val="10"/>
        <color theme="1"/>
        <rFont val="Calibri"/>
        <family val="2"/>
        <scheme val="minor"/>
      </rPr>
      <t xml:space="preserve">
Validación de identidad
</t>
    </r>
    <r>
      <rPr>
        <b/>
        <sz val="10"/>
        <color theme="1"/>
        <rFont val="Calibri"/>
        <family val="2"/>
        <scheme val="minor"/>
      </rPr>
      <t>Email: ABR  2014</t>
    </r>
    <r>
      <rPr>
        <sz val="10"/>
        <color theme="1"/>
        <rFont val="Calibri"/>
        <family val="2"/>
        <scheme val="minor"/>
      </rPr>
      <t xml:space="preserve">
</t>
    </r>
    <r>
      <rPr>
        <b/>
        <sz val="10"/>
        <color theme="1"/>
        <rFont val="Calibri"/>
        <family val="2"/>
        <scheme val="minor"/>
      </rPr>
      <t>Dirección:NO</t>
    </r>
    <r>
      <rPr>
        <sz val="10"/>
        <color theme="1"/>
        <rFont val="Calibri"/>
        <family val="2"/>
        <scheme val="minor"/>
      </rPr>
      <t xml:space="preserve">
</t>
    </r>
    <r>
      <rPr>
        <b/>
        <sz val="10"/>
        <color theme="1"/>
        <rFont val="Calibri"/>
        <family val="2"/>
        <scheme val="minor"/>
      </rPr>
      <t>Tel Cel: MAR 2021</t>
    </r>
    <r>
      <rPr>
        <sz val="10"/>
        <color theme="1"/>
        <rFont val="Calibri"/>
        <family val="2"/>
        <scheme val="minor"/>
      </rPr>
      <t xml:space="preserve">
</t>
    </r>
    <r>
      <rPr>
        <b/>
        <sz val="10"/>
        <color theme="1"/>
        <rFont val="Calibri"/>
        <family val="2"/>
        <scheme val="minor"/>
      </rPr>
      <t xml:space="preserve">Cuenta:DIC 2021 Bancolombia 
</t>
    </r>
    <r>
      <rPr>
        <b/>
        <sz val="10"/>
        <color rgb="FF00B050"/>
        <rFont val="Calibri"/>
        <family val="2"/>
        <scheme val="minor"/>
      </rPr>
      <t>Lote Begini:</t>
    </r>
    <r>
      <rPr>
        <b/>
        <sz val="10"/>
        <color theme="1"/>
        <rFont val="Calibri"/>
        <family val="2"/>
        <scheme val="minor"/>
      </rPr>
      <t xml:space="preserve">
Novedad:</t>
    </r>
    <r>
      <rPr>
        <sz val="10"/>
        <color theme="1"/>
        <rFont val="Calibri"/>
        <family val="2"/>
        <scheme val="minor"/>
      </rPr>
      <t xml:space="preserve">
</t>
    </r>
    <r>
      <rPr>
        <b/>
        <sz val="10"/>
        <color theme="1"/>
        <rFont val="Calibri"/>
        <family val="2"/>
        <scheme val="minor"/>
      </rPr>
      <t>Propiedades:Automovil Placa Icp242</t>
    </r>
    <r>
      <rPr>
        <sz val="10"/>
        <color theme="1"/>
        <rFont val="Calibri"/>
        <family val="2"/>
        <scheme val="minor"/>
      </rPr>
      <t xml:space="preserve">
</t>
    </r>
    <r>
      <rPr>
        <b/>
        <sz val="10"/>
        <color theme="1"/>
        <rFont val="Calibri"/>
        <family val="2"/>
        <scheme val="minor"/>
      </rPr>
      <t xml:space="preserve">Nota: </t>
    </r>
  </si>
  <si>
    <t>VoBO 450 COND 6 TDC AL 100%, ENDEUDADA, INDICARLE LA IMPORTANCIA DE PAGAR AL DIA.Actualizar direccion con cliente y HC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</si>
</sst>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3" formatCode="_-* #,##0.00_-;\-* #,##0.00_-;_-* &quot;-&quot;??_-;_-@_-"/>
    <numFmt numFmtId="164" formatCode="_-&quot;$&quot;* #,##0_-;\-&quot;$&quot;* #,##0_-;_-&quot;$&quot;* &quot;-&quot;_-;_-@_-"/>
    <numFmt numFmtId="165" formatCode="_-&quot;$&quot;* #,##0.00_-;\-&quot;$&quot;* #,##0.00_-;_-&quot;$&quot;* &quot;-&quot;??_-;_-@_-"/>
    <numFmt numFmtId="166" formatCode="_-* #,##0_-;\-* #,##0_-;_-* &quot;-&quot;??_-;_-@_-"/>
    <numFmt numFmtId="167" formatCode="_ &quot;$&quot;\ * #,##0_ ;_ &quot;$&quot;\ * \-#,##0_ ;_ &quot;$&quot;\ * &quot;-&quot;??_ ;_ @_ "/>
    <numFmt numFmtId="168" formatCode="_(&quot;$&quot;\ * #,##0_);_(&quot;$&quot;\ * \(#,##0\);_(&quot;$&quot;\ * &quot;-&quot;??_);_(@_)"/>
    <numFmt numFmtId="169" formatCode="mmm"/>
    <numFmt numFmtId="170" formatCode="_-&quot;$&quot;* #,##0_-;\-&quot;$&quot;* #,##0_-;_-&quot;$&quot;* &quot;-&quot;??_-;_-@_-"/>
    <numFmt numFmtId="171" formatCode="0.0%"/>
    <numFmt numFmtId="172" formatCode="_-* #,##0.0_-;\-* #,##0.0_-;_-* &quot;-&quot;??_-;_-@_-"/>
    <numFmt numFmtId="173" formatCode="yyyy"/>
  </numFmts>
  <fonts count="41" x14ac:knownFonts="1">
    <font>
      <sz val="11"/>
      <color theme="1"/>
      <name val="Calibri"/>
      <family val="2"/>
      <scheme val="minor"/>
    </font>
    <font>
      <sz val="11"/>
      <color theme="1"/>
      <name val="Calibri"/>
      <family val="2"/>
      <scheme val="minor"/>
    </font>
    <font>
      <sz val="10"/>
      <name val="Arial"/>
      <family val="2"/>
    </font>
    <font>
      <sz val="10"/>
      <color theme="1"/>
      <name val="Calibri"/>
      <family val="2"/>
      <scheme val="minor"/>
    </font>
    <font>
      <sz val="10"/>
      <color indexed="9"/>
      <name val="Calibri"/>
      <family val="2"/>
    </font>
    <font>
      <sz val="10"/>
      <name val="Calibri"/>
      <family val="2"/>
    </font>
    <font>
      <sz val="10"/>
      <color theme="0"/>
      <name val="Calibri"/>
      <family val="2"/>
    </font>
    <font>
      <b/>
      <sz val="16"/>
      <color theme="0" tint="-4.9989318521683403E-2"/>
      <name val="Calibri"/>
      <family val="2"/>
    </font>
    <font>
      <b/>
      <sz val="8"/>
      <name val="Calibri"/>
      <family val="2"/>
    </font>
    <font>
      <b/>
      <sz val="11"/>
      <color theme="0"/>
      <name val="Calibri"/>
      <family val="2"/>
    </font>
    <font>
      <b/>
      <sz val="10"/>
      <name val="Calibri"/>
      <family val="2"/>
    </font>
    <font>
      <sz val="9"/>
      <name val="Calibri"/>
      <family val="2"/>
    </font>
    <font>
      <b/>
      <sz val="14"/>
      <color theme="0"/>
      <name val="Calibri"/>
      <family val="2"/>
    </font>
    <font>
      <b/>
      <sz val="10"/>
      <color theme="0"/>
      <name val="Calibri"/>
      <family val="2"/>
    </font>
    <font>
      <b/>
      <sz val="10"/>
      <color theme="0"/>
      <name val="Arial"/>
      <family val="2"/>
    </font>
    <font>
      <sz val="10"/>
      <color theme="1" tint="0.14999847407452621"/>
      <name val="Calibri"/>
      <family val="2"/>
    </font>
    <font>
      <b/>
      <sz val="9"/>
      <color theme="0"/>
      <name val="Calibri"/>
      <family val="2"/>
    </font>
    <font>
      <b/>
      <sz val="14"/>
      <color theme="0" tint="-4.9989318521683403E-2"/>
      <name val="Calibri"/>
      <family val="2"/>
    </font>
    <font>
      <b/>
      <sz val="11"/>
      <color theme="1"/>
      <name val="Calibri"/>
      <family val="2"/>
      <scheme val="minor"/>
    </font>
    <font>
      <b/>
      <sz val="11"/>
      <color theme="0"/>
      <name val="Calibri"/>
      <family val="2"/>
      <scheme val="minor"/>
    </font>
    <font>
      <sz val="11"/>
      <color theme="0"/>
      <name val="Calibri"/>
      <family val="2"/>
      <scheme val="minor"/>
    </font>
    <font>
      <u/>
      <sz val="11"/>
      <color theme="1"/>
      <name val="Calibri"/>
      <family val="2"/>
      <scheme val="minor"/>
    </font>
    <font>
      <b/>
      <u/>
      <sz val="11"/>
      <color rgb="FFFF0000"/>
      <name val="Calibri"/>
      <family val="2"/>
      <scheme val="minor"/>
    </font>
    <font>
      <b/>
      <u/>
      <sz val="11"/>
      <color theme="1"/>
      <name val="Calibri"/>
      <family val="2"/>
      <scheme val="minor"/>
    </font>
    <font>
      <b/>
      <sz val="11"/>
      <color rgb="FFFF0000"/>
      <name val="Calibri"/>
      <family val="2"/>
      <scheme val="minor"/>
    </font>
    <font>
      <b/>
      <sz val="10"/>
      <color theme="0"/>
      <name val="Calibri"/>
      <family val="2"/>
      <scheme val="minor"/>
    </font>
    <font>
      <b/>
      <sz val="10"/>
      <name val="Calibri"/>
      <family val="2"/>
      <scheme val="minor"/>
    </font>
    <font>
      <sz val="10"/>
      <name val="Calibri"/>
      <family val="2"/>
      <scheme val="minor"/>
    </font>
    <font>
      <b/>
      <sz val="10"/>
      <color theme="1"/>
      <name val="Calibri"/>
      <family val="2"/>
      <scheme val="minor"/>
    </font>
    <font>
      <i/>
      <sz val="10"/>
      <color theme="1"/>
      <name val="Calibri"/>
      <family val="2"/>
      <scheme val="minor"/>
    </font>
    <font>
      <b/>
      <sz val="10"/>
      <color indexed="9"/>
      <name val="Calibri"/>
      <family val="2"/>
      <scheme val="minor"/>
    </font>
    <font>
      <sz val="8"/>
      <name val="Calibri"/>
      <family val="2"/>
      <scheme val="minor"/>
    </font>
    <font>
      <b/>
      <i/>
      <sz val="11"/>
      <color theme="1"/>
      <name val="Calibri"/>
      <family val="2"/>
      <scheme val="minor"/>
    </font>
    <font>
      <sz val="10"/>
      <color theme="0"/>
      <name val="Calibri"/>
      <family val="2"/>
      <scheme val="minor"/>
    </font>
    <font>
      <u/>
      <sz val="11"/>
      <color theme="10"/>
      <name val="Calibri"/>
      <family val="2"/>
      <scheme val="minor"/>
    </font>
    <font>
      <b/>
      <u/>
      <sz val="11"/>
      <color theme="10"/>
      <name val="Calibri"/>
      <family val="2"/>
      <scheme val="minor"/>
    </font>
    <font>
      <sz val="10.5"/>
      <color theme="1"/>
      <name val="Calibri"/>
      <family val="2"/>
      <scheme val="minor"/>
    </font>
    <font>
      <u/>
      <sz val="10.5"/>
      <color theme="1"/>
      <name val="Calibri"/>
      <family val="2"/>
      <scheme val="minor"/>
    </font>
    <font>
      <b/>
      <sz val="10.5"/>
      <color theme="1"/>
      <name val="Calibri"/>
      <family val="2"/>
      <scheme val="minor"/>
    </font>
    <font>
      <b/>
      <sz val="10"/>
      <color rgb="FF00B050"/>
      <name val="Calibri"/>
      <family val="2"/>
      <scheme val="minor"/>
    </font>
    <font>
      <b/>
      <sz val="10"/>
      <color theme="0" tint="-4.9989318521683403E-2"/>
      <name val="Calibri"/>
      <family val="2"/>
      <scheme val="minor"/>
    </font>
  </fonts>
  <fills count="18">
    <fill>
      <patternFill patternType="none"/>
    </fill>
    <fill>
      <patternFill patternType="gray125"/>
    </fill>
    <fill>
      <patternFill patternType="solid">
        <fgColor rgb="FF002060"/>
        <bgColor indexed="64"/>
      </patternFill>
    </fill>
    <fill>
      <patternFill patternType="solid">
        <fgColor theme="0"/>
        <bgColor indexed="64"/>
      </patternFill>
    </fill>
    <fill>
      <patternFill patternType="solid">
        <fgColor rgb="FF0070C0"/>
        <bgColor indexed="64"/>
      </patternFill>
    </fill>
    <fill>
      <patternFill patternType="solid">
        <fgColor theme="0"/>
        <bgColor auto="1"/>
      </patternFill>
    </fill>
    <fill>
      <patternFill patternType="solid">
        <fgColor theme="0" tint="-4.9989318521683403E-2"/>
        <bgColor indexed="64"/>
      </patternFill>
    </fill>
    <fill>
      <patternFill patternType="solid">
        <fgColor rgb="FFEAEAEA"/>
        <bgColor indexed="64"/>
      </patternFill>
    </fill>
    <fill>
      <patternFill patternType="solid">
        <fgColor indexed="65"/>
        <bgColor indexed="64"/>
      </patternFill>
    </fill>
    <fill>
      <patternFill patternType="solid">
        <fgColor theme="4" tint="0.79998168889431442"/>
        <bgColor indexed="64"/>
      </patternFill>
    </fill>
    <fill>
      <patternFill patternType="solid">
        <fgColor theme="0" tint="-0.14999847407452621"/>
        <bgColor indexed="64"/>
      </patternFill>
    </fill>
    <fill>
      <patternFill patternType="solid">
        <fgColor theme="0" tint="-0.499984740745262"/>
        <bgColor indexed="64"/>
      </patternFill>
    </fill>
    <fill>
      <patternFill patternType="solid">
        <fgColor theme="6" tint="0.59999389629810485"/>
        <bgColor indexed="64"/>
      </patternFill>
    </fill>
    <fill>
      <patternFill patternType="solid">
        <fgColor rgb="FF0D223F"/>
        <bgColor indexed="64"/>
      </patternFill>
    </fill>
    <fill>
      <patternFill patternType="solid">
        <fgColor theme="8" tint="0.79998168889431442"/>
        <bgColor indexed="64"/>
      </patternFill>
    </fill>
    <fill>
      <patternFill patternType="solid">
        <fgColor theme="2"/>
        <bgColor indexed="64"/>
      </patternFill>
    </fill>
    <fill>
      <patternFill patternType="solid">
        <fgColor theme="3" tint="0.79998168889431442"/>
        <bgColor indexed="64"/>
      </patternFill>
    </fill>
    <fill>
      <patternFill patternType="solid">
        <fgColor rgb="FFFFFF00"/>
        <bgColor indexed="64"/>
      </patternFill>
    </fill>
  </fills>
  <borders count="55">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diagonal/>
    </border>
    <border>
      <left/>
      <right style="medium">
        <color indexed="64"/>
      </right>
      <top/>
      <bottom/>
      <diagonal/>
    </border>
    <border>
      <left style="thin">
        <color indexed="64"/>
      </left>
      <right style="medium">
        <color indexed="64"/>
      </right>
      <top style="thin">
        <color indexed="64"/>
      </top>
      <bottom/>
      <diagonal/>
    </border>
    <border>
      <left style="medium">
        <color indexed="64"/>
      </left>
      <right/>
      <top style="thin">
        <color indexed="64"/>
      </top>
      <bottom style="thin">
        <color indexed="64"/>
      </bottom>
      <diagonal/>
    </border>
    <border>
      <left style="thin">
        <color indexed="64"/>
      </left>
      <right style="medium">
        <color indexed="64"/>
      </right>
      <top/>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thin">
        <color indexed="64"/>
      </bottom>
      <diagonal/>
    </border>
    <border>
      <left/>
      <right/>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bottom style="thin">
        <color indexed="64"/>
      </bottom>
      <diagonal/>
    </border>
    <border>
      <left style="thin">
        <color indexed="64"/>
      </left>
      <right style="thin">
        <color theme="0" tint="-0.499984740745262"/>
      </right>
      <top style="thin">
        <color indexed="64"/>
      </top>
      <bottom style="thin">
        <color theme="0" tint="-0.499984740745262"/>
      </bottom>
      <diagonal/>
    </border>
    <border>
      <left style="thin">
        <color theme="0" tint="-0.499984740745262"/>
      </left>
      <right style="thin">
        <color theme="0" tint="-0.499984740745262"/>
      </right>
      <top style="thin">
        <color indexed="64"/>
      </top>
      <bottom style="thin">
        <color theme="0" tint="-0.499984740745262"/>
      </bottom>
      <diagonal/>
    </border>
    <border>
      <left style="thin">
        <color theme="0" tint="-0.499984740745262"/>
      </left>
      <right style="thin">
        <color indexed="64"/>
      </right>
      <top style="thin">
        <color indexed="64"/>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indexed="64"/>
      </bottom>
      <diagonal/>
    </border>
    <border>
      <left style="thin">
        <color theme="0" tint="-0.499984740745262"/>
      </left>
      <right style="thin">
        <color theme="0" tint="-0.499984740745262"/>
      </right>
      <top style="thin">
        <color theme="0" tint="-0.499984740745262"/>
      </top>
      <bottom style="thin">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xf numFmtId="9" fontId="2" fillId="0" borderId="0" applyFont="0" applyFill="0" applyBorder="0" applyAlignment="0" applyProtection="0"/>
    <xf numFmtId="166" fontId="2"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34" fillId="0" borderId="0" applyNumberFormat="0" applyFill="0" applyBorder="0" applyAlignment="0" applyProtection="0"/>
  </cellStyleXfs>
  <cellXfs count="369">
    <xf numFmtId="0" fontId="0" fillId="0" borderId="0" xfId="0"/>
    <xf numFmtId="0" fontId="3" fillId="8" borderId="0" xfId="0" applyFont="1" applyFill="1"/>
    <xf numFmtId="0" fontId="14" fillId="8" borderId="0" xfId="0" applyFont="1" applyFill="1" applyAlignment="1">
      <alignment horizontal="center"/>
    </xf>
    <xf numFmtId="0" fontId="2" fillId="8" borderId="0" xfId="0" applyFont="1" applyFill="1" applyAlignment="1">
      <alignment horizontal="left"/>
    </xf>
    <xf numFmtId="166" fontId="2" fillId="8" borderId="0" xfId="1" applyNumberFormat="1" applyFont="1" applyFill="1" applyAlignment="1">
      <alignment horizontal="left"/>
    </xf>
    <xf numFmtId="0" fontId="0" fillId="8" borderId="0" xfId="0" applyFill="1"/>
    <xf numFmtId="169" fontId="5" fillId="8" borderId="2" xfId="0" applyNumberFormat="1" applyFont="1" applyFill="1" applyBorder="1" applyAlignment="1" applyProtection="1">
      <alignment horizontal="right"/>
      <protection hidden="1"/>
    </xf>
    <xf numFmtId="1" fontId="5" fillId="8" borderId="6" xfId="0" applyNumberFormat="1" applyFont="1" applyFill="1" applyBorder="1" applyAlignment="1" applyProtection="1">
      <alignment horizontal="right"/>
      <protection hidden="1"/>
    </xf>
    <xf numFmtId="0" fontId="5" fillId="8" borderId="8" xfId="0" applyFont="1" applyFill="1" applyBorder="1" applyAlignment="1" applyProtection="1">
      <alignment horizontal="right"/>
      <protection hidden="1"/>
    </xf>
    <xf numFmtId="3" fontId="5" fillId="9" borderId="4" xfId="0" applyNumberFormat="1" applyFont="1" applyFill="1" applyBorder="1" applyAlignment="1" applyProtection="1">
      <alignment horizontal="center"/>
      <protection hidden="1"/>
    </xf>
    <xf numFmtId="167" fontId="5" fillId="8" borderId="4" xfId="6" applyNumberFormat="1" applyFont="1" applyFill="1" applyBorder="1" applyProtection="1">
      <protection hidden="1"/>
    </xf>
    <xf numFmtId="167" fontId="5" fillId="8" borderId="4" xfId="0" applyNumberFormat="1" applyFont="1" applyFill="1" applyBorder="1" applyProtection="1">
      <protection hidden="1"/>
    </xf>
    <xf numFmtId="0" fontId="5" fillId="3" borderId="0" xfId="0" applyFont="1" applyFill="1" applyProtection="1">
      <protection locked="0"/>
    </xf>
    <xf numFmtId="0" fontId="5" fillId="6" borderId="0" xfId="0" applyFont="1" applyFill="1" applyProtection="1">
      <protection locked="0"/>
    </xf>
    <xf numFmtId="0" fontId="4" fillId="3" borderId="0" xfId="0" applyFont="1" applyFill="1" applyProtection="1">
      <protection locked="0"/>
    </xf>
    <xf numFmtId="0" fontId="6" fillId="6" borderId="0" xfId="0" applyFont="1" applyFill="1" applyProtection="1">
      <protection locked="0"/>
    </xf>
    <xf numFmtId="10" fontId="5" fillId="12" borderId="4" xfId="2" applyNumberFormat="1" applyFont="1" applyFill="1" applyBorder="1" applyAlignment="1" applyProtection="1">
      <alignment horizontal="center" vertical="center"/>
      <protection locked="0"/>
    </xf>
    <xf numFmtId="0" fontId="11" fillId="7" borderId="1" xfId="0" applyFont="1" applyFill="1" applyBorder="1" applyAlignment="1" applyProtection="1">
      <alignment vertical="center" wrapText="1"/>
      <protection locked="0"/>
    </xf>
    <xf numFmtId="0" fontId="11" fillId="7" borderId="0" xfId="0" applyFont="1" applyFill="1" applyAlignment="1" applyProtection="1">
      <alignment vertical="center" wrapText="1"/>
      <protection locked="0"/>
    </xf>
    <xf numFmtId="0" fontId="11" fillId="3" borderId="0" xfId="0" applyFont="1" applyFill="1" applyAlignment="1" applyProtection="1">
      <alignment vertical="center" wrapText="1"/>
      <protection locked="0"/>
    </xf>
    <xf numFmtId="1" fontId="5" fillId="3" borderId="0" xfId="0" applyNumberFormat="1" applyFont="1" applyFill="1" applyAlignment="1" applyProtection="1">
      <alignment horizontal="right"/>
      <protection locked="0"/>
    </xf>
    <xf numFmtId="0" fontId="5" fillId="6" borderId="0" xfId="0" applyFont="1" applyFill="1" applyAlignment="1" applyProtection="1">
      <alignment horizontal="center"/>
      <protection locked="0"/>
    </xf>
    <xf numFmtId="166" fontId="6" fillId="6" borderId="0" xfId="1" applyNumberFormat="1" applyFont="1" applyFill="1" applyProtection="1">
      <protection locked="0"/>
    </xf>
    <xf numFmtId="0" fontId="5" fillId="3" borderId="0" xfId="0" applyFont="1" applyFill="1" applyAlignment="1" applyProtection="1">
      <alignment horizontal="center"/>
      <protection locked="0"/>
    </xf>
    <xf numFmtId="0" fontId="5" fillId="3" borderId="0" xfId="0" applyFont="1" applyFill="1" applyAlignment="1" applyProtection="1">
      <alignment horizontal="right"/>
      <protection locked="0"/>
    </xf>
    <xf numFmtId="167" fontId="5" fillId="3" borderId="0" xfId="6" applyNumberFormat="1" applyFont="1" applyFill="1" applyAlignment="1" applyProtection="1">
      <alignment horizontal="center"/>
      <protection locked="0"/>
    </xf>
    <xf numFmtId="167" fontId="5" fillId="3" borderId="0" xfId="6" applyNumberFormat="1" applyFont="1" applyFill="1" applyProtection="1">
      <protection locked="0"/>
    </xf>
    <xf numFmtId="0" fontId="5" fillId="8" borderId="0" xfId="0" applyFont="1" applyFill="1" applyAlignment="1" applyProtection="1">
      <alignment horizontal="center"/>
      <protection locked="0"/>
    </xf>
    <xf numFmtId="0" fontId="5" fillId="8" borderId="0" xfId="0" applyFont="1" applyFill="1" applyAlignment="1" applyProtection="1">
      <alignment horizontal="right"/>
      <protection locked="0"/>
    </xf>
    <xf numFmtId="167" fontId="5" fillId="8" borderId="0" xfId="6" applyNumberFormat="1" applyFont="1" applyFill="1" applyAlignment="1" applyProtection="1">
      <alignment horizontal="center"/>
      <protection locked="0"/>
    </xf>
    <xf numFmtId="0" fontId="5" fillId="8" borderId="0" xfId="0" applyFont="1" applyFill="1" applyProtection="1">
      <protection locked="0"/>
    </xf>
    <xf numFmtId="167" fontId="5" fillId="8" borderId="0" xfId="6" applyNumberFormat="1" applyFont="1" applyFill="1" applyProtection="1">
      <protection locked="0"/>
    </xf>
    <xf numFmtId="0" fontId="5" fillId="3" borderId="0" xfId="0" applyFont="1" applyFill="1" applyProtection="1">
      <protection hidden="1"/>
    </xf>
    <xf numFmtId="0" fontId="4" fillId="3" borderId="0" xfId="0" applyFont="1" applyFill="1" applyProtection="1">
      <protection hidden="1"/>
    </xf>
    <xf numFmtId="0" fontId="8" fillId="5" borderId="0" xfId="0" applyFont="1" applyFill="1" applyAlignment="1" applyProtection="1">
      <alignment horizontal="center" vertical="center" wrapText="1"/>
      <protection hidden="1"/>
    </xf>
    <xf numFmtId="4" fontId="5" fillId="3" borderId="5" xfId="0" applyNumberFormat="1" applyFont="1" applyFill="1" applyBorder="1" applyAlignment="1" applyProtection="1">
      <alignment horizontal="center" vertical="center"/>
      <protection hidden="1"/>
    </xf>
    <xf numFmtId="4" fontId="5" fillId="3" borderId="4" xfId="0" applyNumberFormat="1" applyFont="1" applyFill="1" applyBorder="1" applyAlignment="1" applyProtection="1">
      <alignment horizontal="center"/>
      <protection hidden="1"/>
    </xf>
    <xf numFmtId="10" fontId="5" fillId="3" borderId="12" xfId="2" applyNumberFormat="1" applyFont="1" applyFill="1" applyBorder="1" applyAlignment="1" applyProtection="1">
      <alignment horizontal="center"/>
      <protection hidden="1"/>
    </xf>
    <xf numFmtId="10" fontId="5" fillId="3" borderId="4" xfId="2" applyNumberFormat="1" applyFont="1" applyFill="1" applyBorder="1" applyAlignment="1" applyProtection="1">
      <alignment horizontal="center"/>
      <protection hidden="1"/>
    </xf>
    <xf numFmtId="10" fontId="10" fillId="3" borderId="4" xfId="2" applyNumberFormat="1" applyFont="1" applyFill="1" applyBorder="1" applyAlignment="1" applyProtection="1">
      <alignment horizontal="center"/>
      <protection hidden="1"/>
    </xf>
    <xf numFmtId="0" fontId="5" fillId="9" borderId="4" xfId="0" applyFont="1" applyFill="1" applyBorder="1" applyAlignment="1" applyProtection="1">
      <alignment horizontal="center"/>
      <protection hidden="1"/>
    </xf>
    <xf numFmtId="0" fontId="5" fillId="0" borderId="0" xfId="0" applyFont="1" applyAlignment="1" applyProtection="1">
      <alignment horizontal="left"/>
      <protection hidden="1"/>
    </xf>
    <xf numFmtId="1" fontId="5" fillId="3" borderId="0" xfId="0" applyNumberFormat="1" applyFont="1" applyFill="1" applyAlignment="1" applyProtection="1">
      <alignment horizontal="right"/>
      <protection hidden="1"/>
    </xf>
    <xf numFmtId="167" fontId="5" fillId="6" borderId="0" xfId="0" applyNumberFormat="1" applyFont="1" applyFill="1" applyProtection="1">
      <protection locked="0"/>
    </xf>
    <xf numFmtId="167" fontId="13" fillId="4" borderId="13" xfId="6" applyNumberFormat="1" applyFont="1" applyFill="1" applyBorder="1" applyAlignment="1" applyProtection="1">
      <alignment horizontal="center" vertical="center"/>
      <protection hidden="1"/>
    </xf>
    <xf numFmtId="0" fontId="13" fillId="4" borderId="13" xfId="0" applyFont="1" applyFill="1" applyBorder="1" applyAlignment="1" applyProtection="1">
      <alignment horizontal="center" vertical="center"/>
      <protection hidden="1"/>
    </xf>
    <xf numFmtId="0" fontId="6" fillId="8" borderId="5" xfId="0" applyFont="1" applyFill="1" applyBorder="1" applyAlignment="1" applyProtection="1">
      <alignment horizontal="right"/>
      <protection hidden="1"/>
    </xf>
    <xf numFmtId="169" fontId="6" fillId="8" borderId="2" xfId="0" applyNumberFormat="1" applyFont="1" applyFill="1" applyBorder="1" applyAlignment="1" applyProtection="1">
      <alignment horizontal="right"/>
      <protection hidden="1"/>
    </xf>
    <xf numFmtId="1" fontId="6" fillId="8" borderId="6" xfId="0" applyNumberFormat="1" applyFont="1" applyFill="1" applyBorder="1" applyAlignment="1" applyProtection="1">
      <alignment horizontal="right"/>
      <protection hidden="1"/>
    </xf>
    <xf numFmtId="0" fontId="5" fillId="12" borderId="4" xfId="0" applyFont="1" applyFill="1" applyBorder="1" applyAlignment="1" applyProtection="1">
      <alignment horizontal="center" vertical="center"/>
      <protection locked="0"/>
    </xf>
    <xf numFmtId="1" fontId="5" fillId="12" borderId="4" xfId="0" applyNumberFormat="1" applyFont="1" applyFill="1" applyBorder="1" applyAlignment="1" applyProtection="1">
      <alignment horizontal="center" vertical="center"/>
      <protection locked="0"/>
    </xf>
    <xf numFmtId="0" fontId="11" fillId="3" borderId="12" xfId="0" applyFont="1" applyFill="1" applyBorder="1" applyAlignment="1" applyProtection="1">
      <alignment horizontal="center" vertical="center"/>
      <protection hidden="1"/>
    </xf>
    <xf numFmtId="0" fontId="6" fillId="3" borderId="0" xfId="0" applyFont="1" applyFill="1" applyAlignment="1" applyProtection="1">
      <alignment horizontal="center" vertical="center"/>
      <protection hidden="1"/>
    </xf>
    <xf numFmtId="0" fontId="5" fillId="6" borderId="0" xfId="0" applyFont="1" applyFill="1" applyAlignment="1" applyProtection="1">
      <alignment horizontal="center" vertical="center"/>
      <protection locked="0"/>
    </xf>
    <xf numFmtId="0" fontId="10" fillId="6" borderId="0" xfId="0" applyFont="1" applyFill="1" applyAlignment="1" applyProtection="1">
      <alignment wrapText="1"/>
      <protection hidden="1"/>
    </xf>
    <xf numFmtId="0" fontId="0" fillId="0" borderId="4" xfId="0" applyBorder="1"/>
    <xf numFmtId="167" fontId="16" fillId="4" borderId="13" xfId="6" applyNumberFormat="1" applyFont="1" applyFill="1" applyBorder="1" applyAlignment="1" applyProtection="1">
      <alignment horizontal="center" vertical="center" wrapText="1"/>
      <protection hidden="1"/>
    </xf>
    <xf numFmtId="0" fontId="5" fillId="3" borderId="20" xfId="0" applyFont="1" applyFill="1" applyBorder="1" applyProtection="1">
      <protection hidden="1"/>
    </xf>
    <xf numFmtId="167" fontId="5" fillId="8" borderId="0" xfId="6" applyNumberFormat="1" applyFont="1" applyFill="1" applyBorder="1" applyProtection="1">
      <protection hidden="1"/>
    </xf>
    <xf numFmtId="0" fontId="5" fillId="3" borderId="21" xfId="0" applyFont="1" applyFill="1" applyBorder="1" applyAlignment="1" applyProtection="1">
      <alignment horizontal="center"/>
      <protection hidden="1"/>
    </xf>
    <xf numFmtId="0" fontId="5" fillId="3" borderId="23" xfId="0" applyFont="1" applyFill="1" applyBorder="1" applyProtection="1">
      <protection hidden="1"/>
    </xf>
    <xf numFmtId="1" fontId="10" fillId="10" borderId="23" xfId="0" applyNumberFormat="1" applyFont="1" applyFill="1" applyBorder="1" applyAlignment="1" applyProtection="1">
      <alignment horizontal="center"/>
      <protection hidden="1"/>
    </xf>
    <xf numFmtId="1" fontId="10" fillId="12" borderId="23" xfId="0" applyNumberFormat="1" applyFont="1" applyFill="1" applyBorder="1" applyAlignment="1" applyProtection="1">
      <alignment horizontal="center"/>
      <protection locked="0"/>
    </xf>
    <xf numFmtId="164" fontId="5" fillId="3" borderId="25" xfId="7" applyFont="1" applyFill="1" applyBorder="1" applyProtection="1">
      <protection hidden="1"/>
    </xf>
    <xf numFmtId="0" fontId="5" fillId="7" borderId="19" xfId="0" applyFont="1" applyFill="1" applyBorder="1" applyProtection="1">
      <protection locked="0"/>
    </xf>
    <xf numFmtId="0" fontId="5" fillId="7" borderId="0" xfId="0" applyFont="1" applyFill="1" applyProtection="1">
      <protection locked="0"/>
    </xf>
    <xf numFmtId="0" fontId="5" fillId="3" borderId="20" xfId="0" applyFont="1" applyFill="1" applyBorder="1" applyProtection="1">
      <protection locked="0"/>
    </xf>
    <xf numFmtId="0" fontId="5" fillId="3" borderId="19" xfId="0" applyFont="1" applyFill="1" applyBorder="1" applyProtection="1">
      <protection locked="0"/>
    </xf>
    <xf numFmtId="168" fontId="10" fillId="12" borderId="27" xfId="0" applyNumberFormat="1" applyFont="1" applyFill="1" applyBorder="1" applyAlignment="1" applyProtection="1">
      <alignment vertical="center"/>
      <protection locked="0"/>
    </xf>
    <xf numFmtId="0" fontId="15" fillId="3" borderId="19" xfId="0" applyFont="1" applyFill="1" applyBorder="1" applyProtection="1">
      <protection hidden="1"/>
    </xf>
    <xf numFmtId="0" fontId="4" fillId="3" borderId="20" xfId="0" applyFont="1" applyFill="1" applyBorder="1" applyProtection="1">
      <protection locked="0"/>
    </xf>
    <xf numFmtId="0" fontId="10" fillId="6" borderId="19" xfId="0" applyFont="1" applyFill="1" applyBorder="1" applyAlignment="1" applyProtection="1">
      <alignment wrapText="1"/>
      <protection hidden="1"/>
    </xf>
    <xf numFmtId="0" fontId="13" fillId="4" borderId="28" xfId="0" applyFont="1" applyFill="1" applyBorder="1" applyAlignment="1" applyProtection="1">
      <alignment horizontal="center" vertical="center"/>
      <protection hidden="1"/>
    </xf>
    <xf numFmtId="167" fontId="13" fillId="4" borderId="21" xfId="6" applyNumberFormat="1" applyFont="1" applyFill="1" applyBorder="1" applyAlignment="1" applyProtection="1">
      <alignment horizontal="center" vertical="center"/>
      <protection hidden="1"/>
    </xf>
    <xf numFmtId="0" fontId="5" fillId="9" borderId="26" xfId="0" applyFont="1" applyFill="1" applyBorder="1" applyAlignment="1" applyProtection="1">
      <alignment horizontal="center"/>
      <protection hidden="1"/>
    </xf>
    <xf numFmtId="0" fontId="0" fillId="0" borderId="27" xfId="0" applyBorder="1"/>
    <xf numFmtId="3" fontId="5" fillId="9" borderId="26" xfId="0" applyNumberFormat="1" applyFont="1" applyFill="1" applyBorder="1" applyAlignment="1" applyProtection="1">
      <alignment horizontal="center"/>
      <protection hidden="1"/>
    </xf>
    <xf numFmtId="167" fontId="5" fillId="9" borderId="27" xfId="6" applyNumberFormat="1" applyFont="1" applyFill="1" applyBorder="1" applyProtection="1">
      <protection hidden="1"/>
    </xf>
    <xf numFmtId="167" fontId="13" fillId="4" borderId="33" xfId="6" applyNumberFormat="1" applyFont="1" applyFill="1" applyBorder="1" applyAlignment="1" applyProtection="1">
      <alignment horizontal="center" vertical="center"/>
      <protection hidden="1"/>
    </xf>
    <xf numFmtId="0" fontId="0" fillId="0" borderId="0" xfId="0" applyAlignment="1">
      <alignment horizontal="center" vertical="center"/>
    </xf>
    <xf numFmtId="170" fontId="0" fillId="0" borderId="4" xfId="6" applyNumberFormat="1" applyFont="1" applyBorder="1"/>
    <xf numFmtId="0" fontId="5" fillId="8" borderId="4" xfId="0" applyFont="1" applyFill="1" applyBorder="1" applyAlignment="1" applyProtection="1">
      <alignment horizontal="center" vertical="center"/>
      <protection hidden="1"/>
    </xf>
    <xf numFmtId="170" fontId="0" fillId="0" borderId="4" xfId="6" applyNumberFormat="1" applyFont="1" applyBorder="1" applyAlignment="1"/>
    <xf numFmtId="170" fontId="5" fillId="8" borderId="4" xfId="6" applyNumberFormat="1" applyFont="1" applyFill="1" applyBorder="1" applyAlignment="1" applyProtection="1">
      <protection hidden="1"/>
    </xf>
    <xf numFmtId="0" fontId="13" fillId="13" borderId="4" xfId="0" applyFont="1" applyFill="1" applyBorder="1" applyAlignment="1" applyProtection="1">
      <alignment horizontal="center" vertical="center"/>
      <protection hidden="1"/>
    </xf>
    <xf numFmtId="167" fontId="16" fillId="13" borderId="4" xfId="6" applyNumberFormat="1" applyFont="1" applyFill="1" applyBorder="1" applyAlignment="1" applyProtection="1">
      <alignment horizontal="center" vertical="center" wrapText="1"/>
      <protection hidden="1"/>
    </xf>
    <xf numFmtId="167" fontId="13" fillId="13" borderId="4" xfId="6" applyNumberFormat="1" applyFont="1" applyFill="1" applyBorder="1" applyAlignment="1" applyProtection="1">
      <alignment horizontal="center" vertical="center"/>
      <protection hidden="1"/>
    </xf>
    <xf numFmtId="170" fontId="13" fillId="13" borderId="4" xfId="6" applyNumberFormat="1" applyFont="1" applyFill="1" applyBorder="1" applyAlignment="1" applyProtection="1">
      <alignment vertical="center"/>
      <protection hidden="1"/>
    </xf>
    <xf numFmtId="167" fontId="13" fillId="13" borderId="4" xfId="6" applyNumberFormat="1" applyFont="1" applyFill="1" applyBorder="1" applyAlignment="1" applyProtection="1">
      <alignment horizontal="center" vertical="center"/>
      <protection locked="0"/>
    </xf>
    <xf numFmtId="167" fontId="13" fillId="4" borderId="4" xfId="6" applyNumberFormat="1" applyFont="1" applyFill="1" applyBorder="1" applyAlignment="1" applyProtection="1">
      <alignment vertical="center" wrapText="1"/>
      <protection hidden="1"/>
    </xf>
    <xf numFmtId="167" fontId="13" fillId="4" borderId="34" xfId="6" applyNumberFormat="1" applyFont="1" applyFill="1" applyBorder="1" applyAlignment="1" applyProtection="1">
      <alignment horizontal="center" vertical="center"/>
      <protection hidden="1"/>
    </xf>
    <xf numFmtId="167" fontId="13" fillId="13" borderId="4" xfId="6" applyNumberFormat="1" applyFont="1" applyFill="1" applyBorder="1" applyAlignment="1" applyProtection="1">
      <alignment horizontal="left" vertical="center"/>
      <protection hidden="1"/>
    </xf>
    <xf numFmtId="167" fontId="0" fillId="0" borderId="4" xfId="0" applyNumberFormat="1" applyBorder="1"/>
    <xf numFmtId="0" fontId="0" fillId="0" borderId="0" xfId="0" applyAlignment="1">
      <alignment horizontal="left" vertical="center"/>
    </xf>
    <xf numFmtId="0" fontId="18" fillId="0" borderId="0" xfId="0" applyFont="1"/>
    <xf numFmtId="167" fontId="13" fillId="13" borderId="4" xfId="6" applyNumberFormat="1" applyFont="1" applyFill="1" applyBorder="1" applyAlignment="1" applyProtection="1">
      <alignment vertical="center"/>
      <protection hidden="1"/>
    </xf>
    <xf numFmtId="167" fontId="13" fillId="4" borderId="4" xfId="6" applyNumberFormat="1" applyFont="1" applyFill="1" applyBorder="1" applyAlignment="1" applyProtection="1">
      <alignment horizontal="center"/>
      <protection hidden="1"/>
    </xf>
    <xf numFmtId="170" fontId="5" fillId="8" borderId="5" xfId="6" applyNumberFormat="1" applyFont="1" applyFill="1" applyBorder="1" applyAlignment="1" applyProtection="1">
      <alignment vertical="center"/>
      <protection hidden="1"/>
    </xf>
    <xf numFmtId="167" fontId="13" fillId="13" borderId="5" xfId="6" applyNumberFormat="1" applyFont="1" applyFill="1" applyBorder="1" applyAlignment="1" applyProtection="1">
      <alignment vertical="center"/>
      <protection hidden="1"/>
    </xf>
    <xf numFmtId="170" fontId="0" fillId="0" borderId="5" xfId="6" applyNumberFormat="1" applyFont="1" applyBorder="1" applyAlignment="1">
      <alignment horizontal="center"/>
    </xf>
    <xf numFmtId="170" fontId="5" fillId="8" borderId="4" xfId="6" applyNumberFormat="1" applyFont="1" applyFill="1" applyBorder="1" applyAlignment="1" applyProtection="1">
      <alignment vertical="center"/>
      <protection hidden="1"/>
    </xf>
    <xf numFmtId="0" fontId="0" fillId="0" borderId="40" xfId="0" applyBorder="1"/>
    <xf numFmtId="0" fontId="0" fillId="0" borderId="14" xfId="0" applyBorder="1"/>
    <xf numFmtId="0" fontId="0" fillId="0" borderId="15" xfId="0" applyBorder="1"/>
    <xf numFmtId="0" fontId="0" fillId="0" borderId="16" xfId="0" applyBorder="1"/>
    <xf numFmtId="0" fontId="0" fillId="0" borderId="19" xfId="0" applyBorder="1"/>
    <xf numFmtId="0" fontId="0" fillId="0" borderId="20" xfId="0" applyBorder="1"/>
    <xf numFmtId="0" fontId="0" fillId="0" borderId="41" xfId="0" applyBorder="1"/>
    <xf numFmtId="0" fontId="0" fillId="0" borderId="42" xfId="0" applyBorder="1"/>
    <xf numFmtId="0" fontId="26" fillId="8" borderId="0" xfId="0" applyFont="1" applyFill="1" applyAlignment="1">
      <alignment horizontal="left"/>
    </xf>
    <xf numFmtId="0" fontId="25" fillId="8" borderId="0" xfId="0" applyFont="1" applyFill="1" applyAlignment="1">
      <alignment horizontal="center"/>
    </xf>
    <xf numFmtId="0" fontId="27" fillId="8" borderId="0" xfId="0" applyFont="1" applyFill="1" applyAlignment="1">
      <alignment horizontal="left" vertical="center"/>
    </xf>
    <xf numFmtId="0" fontId="27" fillId="8" borderId="0" xfId="0" applyFont="1" applyFill="1" applyAlignment="1">
      <alignment horizontal="left"/>
    </xf>
    <xf numFmtId="0" fontId="25" fillId="4" borderId="3" xfId="0" applyFont="1" applyFill="1" applyBorder="1" applyAlignment="1">
      <alignment horizontal="center"/>
    </xf>
    <xf numFmtId="0" fontId="25" fillId="4" borderId="6" xfId="0" applyFont="1" applyFill="1" applyBorder="1" applyAlignment="1">
      <alignment horizontal="center"/>
    </xf>
    <xf numFmtId="0" fontId="25" fillId="4" borderId="8" xfId="0" applyFont="1" applyFill="1" applyBorder="1" applyAlignment="1">
      <alignment horizontal="left"/>
    </xf>
    <xf numFmtId="0" fontId="3" fillId="8" borderId="13" xfId="0" applyFont="1" applyFill="1" applyBorder="1"/>
    <xf numFmtId="166" fontId="3" fillId="14" borderId="2" xfId="1" applyNumberFormat="1" applyFont="1" applyFill="1" applyBorder="1"/>
    <xf numFmtId="171" fontId="3" fillId="8" borderId="13" xfId="2" applyNumberFormat="1" applyFont="1" applyFill="1" applyBorder="1"/>
    <xf numFmtId="0" fontId="3" fillId="8" borderId="13" xfId="0" applyFont="1" applyFill="1" applyBorder="1" applyAlignment="1">
      <alignment horizontal="left" vertical="center" wrapText="1"/>
    </xf>
    <xf numFmtId="166" fontId="3" fillId="15" borderId="2" xfId="1" applyNumberFormat="1" applyFont="1" applyFill="1" applyBorder="1"/>
    <xf numFmtId="0" fontId="3" fillId="8" borderId="35" xfId="0" applyFont="1" applyFill="1" applyBorder="1"/>
    <xf numFmtId="166" fontId="3" fillId="15" borderId="0" xfId="1" applyNumberFormat="1" applyFont="1" applyFill="1" applyBorder="1"/>
    <xf numFmtId="171" fontId="3" fillId="8" borderId="35" xfId="2" applyNumberFormat="1" applyFont="1" applyFill="1" applyBorder="1"/>
    <xf numFmtId="166" fontId="3" fillId="8" borderId="35" xfId="0" applyNumberFormat="1" applyFont="1" applyFill="1" applyBorder="1"/>
    <xf numFmtId="166" fontId="3" fillId="8" borderId="0" xfId="1" applyNumberFormat="1" applyFont="1" applyFill="1" applyBorder="1"/>
    <xf numFmtId="171" fontId="3" fillId="8" borderId="35" xfId="0" applyNumberFormat="1" applyFont="1" applyFill="1" applyBorder="1"/>
    <xf numFmtId="0" fontId="28" fillId="9" borderId="12" xfId="0" applyFont="1" applyFill="1" applyBorder="1"/>
    <xf numFmtId="170" fontId="28" fillId="9" borderId="1" xfId="6" applyNumberFormat="1" applyFont="1" applyFill="1" applyBorder="1"/>
    <xf numFmtId="171" fontId="28" fillId="9" borderId="12" xfId="0" applyNumberFormat="1" applyFont="1" applyFill="1" applyBorder="1"/>
    <xf numFmtId="166" fontId="3" fillId="3" borderId="13" xfId="1" applyNumberFormat="1" applyFont="1" applyFill="1" applyBorder="1"/>
    <xf numFmtId="166" fontId="3" fillId="3" borderId="35" xfId="1" applyNumberFormat="1" applyFont="1" applyFill="1" applyBorder="1"/>
    <xf numFmtId="166" fontId="3" fillId="8" borderId="0" xfId="1" applyNumberFormat="1" applyFont="1" applyFill="1"/>
    <xf numFmtId="166" fontId="3" fillId="14" borderId="35" xfId="1" applyNumberFormat="1" applyFont="1" applyFill="1" applyBorder="1"/>
    <xf numFmtId="166" fontId="3" fillId="15" borderId="13" xfId="1" applyNumberFormat="1" applyFont="1" applyFill="1" applyBorder="1"/>
    <xf numFmtId="166" fontId="3" fillId="15" borderId="35" xfId="1" applyNumberFormat="1" applyFont="1" applyFill="1" applyBorder="1"/>
    <xf numFmtId="0" fontId="28" fillId="9" borderId="1" xfId="0" applyFont="1" applyFill="1" applyBorder="1"/>
    <xf numFmtId="0" fontId="3" fillId="8" borderId="2" xfId="0" applyFont="1" applyFill="1" applyBorder="1"/>
    <xf numFmtId="9" fontId="3" fillId="8" borderId="13" xfId="2" applyFont="1" applyFill="1" applyBorder="1"/>
    <xf numFmtId="171" fontId="3" fillId="8" borderId="35" xfId="2" applyNumberFormat="1" applyFont="1" applyFill="1" applyBorder="1" applyAlignment="1">
      <alignment horizontal="right"/>
    </xf>
    <xf numFmtId="9" fontId="28" fillId="9" borderId="12" xfId="2" applyFont="1" applyFill="1" applyBorder="1"/>
    <xf numFmtId="0" fontId="3" fillId="3" borderId="1" xfId="0" applyFont="1" applyFill="1" applyBorder="1" applyAlignment="1">
      <alignment horizontal="center" vertical="center"/>
    </xf>
    <xf numFmtId="0" fontId="28" fillId="8" borderId="1" xfId="0" applyFont="1" applyFill="1" applyBorder="1"/>
    <xf numFmtId="166" fontId="28" fillId="8" borderId="1" xfId="1" applyNumberFormat="1" applyFont="1" applyFill="1" applyBorder="1"/>
    <xf numFmtId="9" fontId="3" fillId="8" borderId="0" xfId="2" applyFont="1" applyFill="1" applyBorder="1"/>
    <xf numFmtId="0" fontId="25" fillId="4" borderId="5" xfId="0" applyFont="1" applyFill="1" applyBorder="1" applyAlignment="1">
      <alignment horizontal="center"/>
    </xf>
    <xf numFmtId="0" fontId="25" fillId="4" borderId="3" xfId="0" applyFont="1" applyFill="1" applyBorder="1"/>
    <xf numFmtId="0" fontId="3" fillId="4" borderId="3" xfId="0" applyFont="1" applyFill="1" applyBorder="1"/>
    <xf numFmtId="166" fontId="27" fillId="3" borderId="6" xfId="1" applyNumberFormat="1" applyFont="1" applyFill="1" applyBorder="1"/>
    <xf numFmtId="0" fontId="28" fillId="3" borderId="0" xfId="0" applyFont="1" applyFill="1" applyAlignment="1">
      <alignment horizontal="center"/>
    </xf>
    <xf numFmtId="0" fontId="3" fillId="3" borderId="0" xfId="0" applyFont="1" applyFill="1"/>
    <xf numFmtId="166" fontId="28" fillId="3" borderId="0" xfId="1" applyNumberFormat="1" applyFont="1" applyFill="1" applyBorder="1"/>
    <xf numFmtId="0" fontId="3" fillId="9" borderId="8" xfId="0" applyFont="1" applyFill="1" applyBorder="1" applyAlignment="1">
      <alignment horizontal="center" vertical="center"/>
    </xf>
    <xf numFmtId="0" fontId="3" fillId="8" borderId="8" xfId="0" applyFont="1" applyFill="1" applyBorder="1"/>
    <xf numFmtId="170" fontId="3" fillId="8" borderId="13" xfId="6" applyNumberFormat="1" applyFont="1" applyFill="1" applyBorder="1" applyProtection="1"/>
    <xf numFmtId="0" fontId="3" fillId="9" borderId="7" xfId="0" applyFont="1" applyFill="1" applyBorder="1" applyAlignment="1">
      <alignment horizontal="center" vertical="center"/>
    </xf>
    <xf numFmtId="0" fontId="3" fillId="8" borderId="7" xfId="0" applyFont="1" applyFill="1" applyBorder="1"/>
    <xf numFmtId="170" fontId="3" fillId="8" borderId="35" xfId="6" applyNumberFormat="1" applyFont="1" applyFill="1" applyBorder="1" applyProtection="1"/>
    <xf numFmtId="166" fontId="3" fillId="8" borderId="35" xfId="1" applyNumberFormat="1" applyFont="1" applyFill="1" applyBorder="1" applyProtection="1"/>
    <xf numFmtId="10" fontId="3" fillId="8" borderId="35" xfId="2" applyNumberFormat="1" applyFont="1" applyFill="1" applyBorder="1" applyProtection="1"/>
    <xf numFmtId="0" fontId="3" fillId="9" borderId="43" xfId="0" applyFont="1" applyFill="1" applyBorder="1" applyAlignment="1">
      <alignment horizontal="center" vertical="center"/>
    </xf>
    <xf numFmtId="10" fontId="3" fillId="8" borderId="12" xfId="2" applyNumberFormat="1" applyFont="1" applyFill="1" applyBorder="1" applyProtection="1"/>
    <xf numFmtId="170" fontId="3" fillId="3" borderId="35" xfId="6" applyNumberFormat="1" applyFont="1" applyFill="1" applyBorder="1" applyProtection="1"/>
    <xf numFmtId="171" fontId="3" fillId="8" borderId="35" xfId="2" applyNumberFormat="1" applyFont="1" applyFill="1" applyBorder="1" applyProtection="1"/>
    <xf numFmtId="9" fontId="3" fillId="8" borderId="35" xfId="2" applyFont="1" applyFill="1" applyBorder="1" applyProtection="1"/>
    <xf numFmtId="172" fontId="3" fillId="8" borderId="35" xfId="1" applyNumberFormat="1" applyFont="1" applyFill="1" applyBorder="1" applyProtection="1"/>
    <xf numFmtId="0" fontId="3" fillId="9" borderId="13" xfId="0" applyFont="1" applyFill="1" applyBorder="1" applyAlignment="1">
      <alignment horizontal="center" vertical="center" wrapText="1"/>
    </xf>
    <xf numFmtId="0" fontId="3" fillId="9" borderId="35" xfId="0" applyFont="1" applyFill="1" applyBorder="1" applyAlignment="1">
      <alignment horizontal="center" vertical="center" wrapText="1"/>
    </xf>
    <xf numFmtId="0" fontId="3" fillId="8" borderId="7" xfId="0" applyFont="1" applyFill="1" applyBorder="1" applyAlignment="1">
      <alignment horizontal="left"/>
    </xf>
    <xf numFmtId="0" fontId="3" fillId="8" borderId="0" xfId="0" applyFont="1" applyFill="1" applyAlignment="1">
      <alignment horizontal="left"/>
    </xf>
    <xf numFmtId="0" fontId="3" fillId="9" borderId="7" xfId="0" applyFont="1" applyFill="1" applyBorder="1" applyAlignment="1">
      <alignment horizontal="center" vertical="center" wrapText="1"/>
    </xf>
    <xf numFmtId="170" fontId="27" fillId="3" borderId="35" xfId="6" applyNumberFormat="1" applyFont="1" applyFill="1" applyBorder="1" applyProtection="1"/>
    <xf numFmtId="0" fontId="3" fillId="9" borderId="12" xfId="0" applyFont="1" applyFill="1" applyBorder="1" applyAlignment="1">
      <alignment horizontal="center" vertical="center" wrapText="1"/>
    </xf>
    <xf numFmtId="0" fontId="3" fillId="8" borderId="43" xfId="0" applyFont="1" applyFill="1" applyBorder="1"/>
    <xf numFmtId="0" fontId="3" fillId="8" borderId="1" xfId="0" applyFont="1" applyFill="1" applyBorder="1"/>
    <xf numFmtId="166" fontId="3" fillId="8" borderId="12" xfId="1" applyNumberFormat="1" applyFont="1" applyFill="1" applyBorder="1" applyProtection="1"/>
    <xf numFmtId="0" fontId="27" fillId="16" borderId="44" xfId="0" applyFont="1" applyFill="1" applyBorder="1" applyAlignment="1">
      <alignment horizontal="left"/>
    </xf>
    <xf numFmtId="0" fontId="27" fillId="8" borderId="45" xfId="0" applyFont="1" applyFill="1" applyBorder="1" applyAlignment="1">
      <alignment horizontal="left"/>
    </xf>
    <xf numFmtId="0" fontId="3" fillId="16" borderId="45" xfId="0" applyFont="1" applyFill="1" applyBorder="1" applyAlignment="1">
      <alignment horizontal="center"/>
    </xf>
    <xf numFmtId="0" fontId="27" fillId="16" borderId="47" xfId="0" applyFont="1" applyFill="1" applyBorder="1" applyAlignment="1">
      <alignment horizontal="left"/>
    </xf>
    <xf numFmtId="0" fontId="27" fillId="8" borderId="48" xfId="0" applyFont="1" applyFill="1" applyBorder="1" applyAlignment="1">
      <alignment horizontal="left"/>
    </xf>
    <xf numFmtId="0" fontId="3" fillId="16" borderId="48" xfId="0" applyFont="1" applyFill="1" applyBorder="1" applyAlignment="1">
      <alignment horizontal="center"/>
    </xf>
    <xf numFmtId="0" fontId="27" fillId="16" borderId="49" xfId="0" applyFont="1" applyFill="1" applyBorder="1" applyAlignment="1">
      <alignment horizontal="left"/>
    </xf>
    <xf numFmtId="0" fontId="27" fillId="8" borderId="50" xfId="0" applyFont="1" applyFill="1" applyBorder="1" applyAlignment="1">
      <alignment horizontal="left"/>
    </xf>
    <xf numFmtId="0" fontId="3" fillId="16" borderId="50" xfId="0" applyFont="1" applyFill="1" applyBorder="1" applyAlignment="1">
      <alignment horizontal="center"/>
    </xf>
    <xf numFmtId="0" fontId="27" fillId="8" borderId="0" xfId="0" applyFont="1" applyFill="1"/>
    <xf numFmtId="0" fontId="25" fillId="2" borderId="0" xfId="0" applyFont="1" applyFill="1" applyAlignment="1">
      <alignment horizontal="center" vertical="center"/>
    </xf>
    <xf numFmtId="173" fontId="30" fillId="2" borderId="4" xfId="0" applyNumberFormat="1" applyFont="1" applyFill="1" applyBorder="1" applyAlignment="1">
      <alignment horizontal="center" vertical="center"/>
    </xf>
    <xf numFmtId="0" fontId="31" fillId="9" borderId="4" xfId="0" applyFont="1" applyFill="1" applyBorder="1" applyAlignment="1">
      <alignment horizontal="center" vertical="center" wrapText="1"/>
    </xf>
    <xf numFmtId="0" fontId="27" fillId="14" borderId="4" xfId="1" applyNumberFormat="1" applyFont="1" applyFill="1" applyBorder="1" applyAlignment="1">
      <alignment horizontal="center" vertical="center"/>
    </xf>
    <xf numFmtId="166" fontId="27" fillId="8" borderId="4" xfId="1" applyNumberFormat="1" applyFont="1" applyFill="1" applyBorder="1" applyAlignment="1">
      <alignment horizontal="center" vertical="center"/>
    </xf>
    <xf numFmtId="43" fontId="20" fillId="0" borderId="0" xfId="1" applyFont="1"/>
    <xf numFmtId="166" fontId="27" fillId="8" borderId="4" xfId="1" applyNumberFormat="1" applyFont="1" applyFill="1" applyBorder="1" applyAlignment="1">
      <alignment vertical="center"/>
    </xf>
    <xf numFmtId="166" fontId="27" fillId="14" borderId="4" xfId="1" applyNumberFormat="1" applyFont="1" applyFill="1" applyBorder="1" applyAlignment="1">
      <alignment horizontal="center" vertical="center"/>
    </xf>
    <xf numFmtId="0" fontId="3" fillId="8" borderId="0" xfId="0" applyFont="1" applyFill="1" applyAlignment="1">
      <alignment vertical="center"/>
    </xf>
    <xf numFmtId="0" fontId="20" fillId="0" borderId="0" xfId="0" applyFont="1"/>
    <xf numFmtId="0" fontId="20" fillId="0" borderId="0" xfId="0" applyFont="1" applyAlignment="1">
      <alignment wrapText="1"/>
    </xf>
    <xf numFmtId="0" fontId="27" fillId="3" borderId="0" xfId="0" applyFont="1" applyFill="1" applyAlignment="1">
      <alignment vertical="center"/>
    </xf>
    <xf numFmtId="166" fontId="27" fillId="3" borderId="0" xfId="1" applyNumberFormat="1" applyFont="1" applyFill="1" applyBorder="1" applyAlignment="1">
      <alignment horizontal="center" vertical="center"/>
    </xf>
    <xf numFmtId="0" fontId="3" fillId="3" borderId="0" xfId="0" applyFont="1" applyFill="1" applyAlignment="1">
      <alignment vertical="center" wrapText="1"/>
    </xf>
    <xf numFmtId="0" fontId="33" fillId="8" borderId="0" xfId="0" applyFont="1" applyFill="1"/>
    <xf numFmtId="0" fontId="25" fillId="2" borderId="4" xfId="0" applyFont="1" applyFill="1" applyBorder="1" applyAlignment="1">
      <alignment vertical="center"/>
    </xf>
    <xf numFmtId="0" fontId="27" fillId="9" borderId="4" xfId="0" applyFont="1" applyFill="1" applyBorder="1" applyAlignment="1">
      <alignment vertical="center"/>
    </xf>
    <xf numFmtId="0" fontId="26" fillId="9" borderId="4" xfId="0" applyFont="1" applyFill="1" applyBorder="1" applyAlignment="1">
      <alignment vertical="center"/>
    </xf>
    <xf numFmtId="166" fontId="26" fillId="8" borderId="4" xfId="1" applyNumberFormat="1" applyFont="1" applyFill="1" applyBorder="1" applyAlignment="1">
      <alignment vertical="center"/>
    </xf>
    <xf numFmtId="0" fontId="3" fillId="8" borderId="7" xfId="0" applyFont="1" applyFill="1" applyBorder="1" applyAlignment="1">
      <alignment horizontal="center" vertical="top" wrapText="1"/>
    </xf>
    <xf numFmtId="0" fontId="3" fillId="8" borderId="0" xfId="0" applyFont="1" applyFill="1" applyAlignment="1">
      <alignment horizontal="center" vertical="top" wrapText="1"/>
    </xf>
    <xf numFmtId="0" fontId="3" fillId="8" borderId="10" xfId="0" applyFont="1" applyFill="1" applyBorder="1" applyAlignment="1">
      <alignment horizontal="center" vertical="top" wrapText="1"/>
    </xf>
    <xf numFmtId="0" fontId="3" fillId="8" borderId="43" xfId="0" applyFont="1" applyFill="1" applyBorder="1" applyAlignment="1">
      <alignment horizontal="left" vertical="top" wrapText="1"/>
    </xf>
    <xf numFmtId="0" fontId="3" fillId="8" borderId="1" xfId="0" applyFont="1" applyFill="1" applyBorder="1" applyAlignment="1">
      <alignment horizontal="center" vertical="top" wrapText="1"/>
    </xf>
    <xf numFmtId="0" fontId="3" fillId="8" borderId="1" xfId="0" applyFont="1" applyFill="1" applyBorder="1" applyAlignment="1">
      <alignment vertical="top" wrapText="1"/>
    </xf>
    <xf numFmtId="0" fontId="3" fillId="8" borderId="11" xfId="0" applyFont="1" applyFill="1" applyBorder="1" applyAlignment="1">
      <alignment vertical="top" wrapText="1"/>
    </xf>
    <xf numFmtId="0" fontId="0" fillId="0" borderId="4" xfId="0" applyBorder="1" applyAlignment="1">
      <alignment horizontal="left" vertical="center"/>
    </xf>
    <xf numFmtId="0" fontId="0" fillId="0" borderId="4" xfId="0" applyBorder="1" applyAlignment="1">
      <alignment horizontal="left" vertical="center" wrapText="1"/>
    </xf>
    <xf numFmtId="0" fontId="0" fillId="0" borderId="13" xfId="0" applyBorder="1" applyAlignment="1">
      <alignment horizontal="left" vertical="center" wrapText="1"/>
    </xf>
    <xf numFmtId="0" fontId="0" fillId="0" borderId="12" xfId="0" applyBorder="1" applyAlignment="1">
      <alignment horizontal="left" vertical="center" wrapText="1"/>
    </xf>
    <xf numFmtId="0" fontId="0" fillId="0" borderId="6" xfId="0" applyBorder="1" applyAlignment="1">
      <alignment horizontal="left" vertical="center"/>
    </xf>
    <xf numFmtId="0" fontId="18" fillId="0" borderId="12" xfId="0" applyFont="1" applyBorder="1" applyAlignment="1">
      <alignment horizontal="left" vertical="center"/>
    </xf>
    <xf numFmtId="0" fontId="0" fillId="0" borderId="6" xfId="0" applyBorder="1" applyAlignment="1">
      <alignment horizontal="left" vertical="center" wrapText="1"/>
    </xf>
    <xf numFmtId="0" fontId="0" fillId="0" borderId="35" xfId="0" applyBorder="1" applyAlignment="1">
      <alignment horizontal="left" vertical="center" wrapText="1"/>
    </xf>
    <xf numFmtId="0" fontId="18" fillId="0" borderId="0" xfId="0" applyFont="1" applyAlignment="1">
      <alignment horizontal="center" vertical="center" wrapText="1"/>
    </xf>
    <xf numFmtId="0" fontId="18" fillId="0" borderId="5" xfId="0" applyFont="1" applyBorder="1" applyAlignment="1">
      <alignment horizontal="center" vertical="center" wrapText="1"/>
    </xf>
    <xf numFmtId="0" fontId="18" fillId="0" borderId="35" xfId="0" applyFont="1" applyBorder="1" applyAlignment="1">
      <alignment horizontal="center" vertical="center" wrapText="1"/>
    </xf>
    <xf numFmtId="0" fontId="18" fillId="0" borderId="4" xfId="0" applyFont="1" applyBorder="1"/>
    <xf numFmtId="0" fontId="0" fillId="0" borderId="4" xfId="0" applyBorder="1" applyAlignment="1">
      <alignment vertical="center" wrapText="1"/>
    </xf>
    <xf numFmtId="0" fontId="0" fillId="0" borderId="0" xfId="0" applyAlignment="1">
      <alignment horizontal="left"/>
    </xf>
    <xf numFmtId="0" fontId="34" fillId="0" borderId="0" xfId="8" applyAlignment="1">
      <alignment horizontal="left"/>
    </xf>
    <xf numFmtId="0" fontId="0" fillId="0" borderId="13" xfId="0" applyBorder="1" applyAlignment="1">
      <alignment horizontal="left" vertical="center"/>
    </xf>
    <xf numFmtId="0" fontId="0" fillId="0" borderId="0" xfId="0" applyAlignment="1">
      <alignment horizontal="right"/>
    </xf>
    <xf numFmtId="0" fontId="36" fillId="0" borderId="0" xfId="0" applyFont="1" applyAlignment="1">
      <alignment horizontal="right"/>
    </xf>
    <xf numFmtId="0" fontId="36" fillId="0" borderId="0" xfId="0" applyFont="1"/>
    <xf numFmtId="0" fontId="0" fillId="0" borderId="0" xfId="0" applyAlignment="1">
      <alignment horizontal="center"/>
    </xf>
    <xf numFmtId="0" fontId="38" fillId="0" borderId="0" xfId="0" applyFont="1"/>
    <xf numFmtId="0" fontId="38" fillId="0" borderId="0" xfId="0" applyFont="1" applyAlignment="1">
      <alignment horizontal="left" vertical="center"/>
    </xf>
    <xf numFmtId="0" fontId="34" fillId="0" borderId="0" xfId="8"/>
    <xf numFmtId="0" fontId="0" fillId="0" borderId="51" xfId="0" applyBorder="1"/>
    <xf numFmtId="0" fontId="0" fillId="0" borderId="52" xfId="0" applyBorder="1"/>
    <xf numFmtId="0" fontId="0" fillId="0" borderId="52" xfId="0" applyBorder="1" applyAlignment="1">
      <alignment wrapText="1"/>
    </xf>
    <xf numFmtId="0" fontId="0" fillId="0" borderId="53" xfId="0" applyBorder="1" applyAlignment="1">
      <alignment wrapText="1"/>
    </xf>
    <xf numFmtId="0" fontId="0" fillId="0" borderId="53" xfId="0" applyBorder="1"/>
    <xf numFmtId="0" fontId="0" fillId="0" borderId="38" xfId="0" applyBorder="1"/>
    <xf numFmtId="0" fontId="0" fillId="0" borderId="36" xfId="0" applyBorder="1"/>
    <xf numFmtId="0" fontId="0" fillId="0" borderId="52" xfId="0" applyBorder="1" applyAlignment="1">
      <alignment vertical="center" wrapText="1"/>
    </xf>
    <xf numFmtId="0" fontId="0" fillId="0" borderId="54" xfId="0" applyBorder="1"/>
    <xf numFmtId="0" fontId="0" fillId="0" borderId="53" xfId="0" applyBorder="1" applyAlignment="1">
      <alignment horizontal="center"/>
    </xf>
    <xf numFmtId="0" fontId="40" fillId="2" borderId="0" xfId="0" applyFont="1" applyFill="1" applyAlignment="1">
      <alignment horizontal="center"/>
    </xf>
    <xf numFmtId="0" fontId="6" fillId="8" borderId="4" xfId="0" applyFont="1" applyFill="1" applyBorder="1" applyAlignment="1" applyProtection="1">
      <alignment horizontal="center" vertical="center"/>
      <protection hidden="1"/>
    </xf>
    <xf numFmtId="0" fontId="13" fillId="13" borderId="4" xfId="0" applyFont="1" applyFill="1" applyBorder="1" applyAlignment="1" applyProtection="1">
      <alignment horizontal="center"/>
      <protection hidden="1"/>
    </xf>
    <xf numFmtId="0" fontId="13" fillId="13" borderId="4" xfId="0" applyFont="1" applyFill="1" applyBorder="1" applyAlignment="1" applyProtection="1">
      <alignment horizontal="center" vertical="center" wrapText="1"/>
      <protection hidden="1"/>
    </xf>
    <xf numFmtId="0" fontId="13" fillId="13" borderId="4" xfId="0" applyFont="1" applyFill="1" applyBorder="1" applyAlignment="1" applyProtection="1">
      <alignment horizontal="center" vertical="center"/>
      <protection hidden="1"/>
    </xf>
    <xf numFmtId="0" fontId="13" fillId="4" borderId="29" xfId="0" applyFont="1" applyFill="1" applyBorder="1" applyAlignment="1" applyProtection="1">
      <alignment horizontal="center"/>
      <protection hidden="1"/>
    </xf>
    <xf numFmtId="0" fontId="13" fillId="4" borderId="30" xfId="0" applyFont="1" applyFill="1" applyBorder="1" applyAlignment="1" applyProtection="1">
      <alignment horizontal="center"/>
      <protection hidden="1"/>
    </xf>
    <xf numFmtId="167" fontId="13" fillId="4" borderId="32" xfId="6" applyNumberFormat="1" applyFont="1" applyFill="1" applyBorder="1" applyAlignment="1" applyProtection="1">
      <alignment horizontal="center" vertical="center"/>
      <protection hidden="1"/>
    </xf>
    <xf numFmtId="167" fontId="13" fillId="4" borderId="31" xfId="6" applyNumberFormat="1" applyFont="1" applyFill="1" applyBorder="1" applyAlignment="1" applyProtection="1">
      <alignment horizontal="center" vertical="center"/>
      <protection hidden="1"/>
    </xf>
    <xf numFmtId="0" fontId="5" fillId="6" borderId="0" xfId="0" applyFont="1" applyFill="1" applyAlignment="1" applyProtection="1">
      <alignment horizontal="center"/>
      <protection locked="0"/>
    </xf>
    <xf numFmtId="168" fontId="13" fillId="4" borderId="4" xfId="0" applyNumberFormat="1" applyFont="1" applyFill="1" applyBorder="1" applyAlignment="1" applyProtection="1">
      <alignment horizontal="center" vertical="center"/>
      <protection hidden="1"/>
    </xf>
    <xf numFmtId="167" fontId="12" fillId="4" borderId="4" xfId="6" applyNumberFormat="1" applyFont="1" applyFill="1" applyBorder="1" applyAlignment="1" applyProtection="1">
      <alignment horizontal="center" vertical="center" wrapText="1"/>
      <protection hidden="1"/>
    </xf>
    <xf numFmtId="167" fontId="5" fillId="3" borderId="13" xfId="6" applyNumberFormat="1" applyFont="1" applyFill="1" applyBorder="1" applyAlignment="1" applyProtection="1">
      <alignment horizontal="center"/>
      <protection hidden="1"/>
    </xf>
    <xf numFmtId="167" fontId="5" fillId="3" borderId="35" xfId="6" applyNumberFormat="1" applyFont="1" applyFill="1" applyBorder="1" applyAlignment="1" applyProtection="1">
      <alignment horizontal="center"/>
      <protection hidden="1"/>
    </xf>
    <xf numFmtId="167" fontId="5" fillId="3" borderId="12" xfId="6" applyNumberFormat="1" applyFont="1" applyFill="1" applyBorder="1" applyAlignment="1" applyProtection="1">
      <alignment horizontal="center"/>
      <protection hidden="1"/>
    </xf>
    <xf numFmtId="0" fontId="13" fillId="4" borderId="5" xfId="0" applyFont="1" applyFill="1" applyBorder="1" applyAlignment="1" applyProtection="1">
      <alignment horizontal="center" vertical="center" wrapText="1"/>
      <protection hidden="1"/>
    </xf>
    <xf numFmtId="0" fontId="13" fillId="4" borderId="3" xfId="0" applyFont="1" applyFill="1" applyBorder="1" applyAlignment="1" applyProtection="1">
      <alignment horizontal="center" vertical="center" wrapText="1"/>
      <protection hidden="1"/>
    </xf>
    <xf numFmtId="0" fontId="13" fillId="4" borderId="6" xfId="0" applyFont="1" applyFill="1" applyBorder="1" applyAlignment="1" applyProtection="1">
      <alignment horizontal="center" vertical="center" wrapText="1"/>
      <protection hidden="1"/>
    </xf>
    <xf numFmtId="0" fontId="5" fillId="12" borderId="0" xfId="0" applyFont="1" applyFill="1" applyAlignment="1" applyProtection="1">
      <alignment horizontal="left" vertical="center"/>
      <protection locked="0"/>
    </xf>
    <xf numFmtId="0" fontId="5" fillId="12" borderId="0" xfId="0" applyFont="1" applyFill="1" applyAlignment="1" applyProtection="1">
      <alignment horizontal="left"/>
      <protection locked="0"/>
    </xf>
    <xf numFmtId="170" fontId="5" fillId="8" borderId="5" xfId="6" applyNumberFormat="1" applyFont="1" applyFill="1" applyBorder="1" applyAlignment="1" applyProtection="1">
      <alignment horizontal="center"/>
      <protection hidden="1"/>
    </xf>
    <xf numFmtId="170" fontId="5" fillId="8" borderId="3" xfId="6" applyNumberFormat="1" applyFont="1" applyFill="1" applyBorder="1" applyAlignment="1" applyProtection="1">
      <alignment horizontal="center"/>
      <protection hidden="1"/>
    </xf>
    <xf numFmtId="167" fontId="5" fillId="8" borderId="5" xfId="6" applyNumberFormat="1" applyFont="1" applyFill="1" applyBorder="1" applyAlignment="1" applyProtection="1">
      <alignment horizontal="center"/>
      <protection hidden="1"/>
    </xf>
    <xf numFmtId="167" fontId="5" fillId="8" borderId="6" xfId="6" applyNumberFormat="1" applyFont="1" applyFill="1" applyBorder="1" applyAlignment="1" applyProtection="1">
      <alignment horizontal="center"/>
      <protection hidden="1"/>
    </xf>
    <xf numFmtId="0" fontId="0" fillId="0" borderId="3" xfId="0" applyBorder="1" applyAlignment="1">
      <alignment horizontal="center"/>
    </xf>
    <xf numFmtId="0" fontId="0" fillId="0" borderId="6" xfId="0" applyBorder="1" applyAlignment="1">
      <alignment horizontal="center"/>
    </xf>
    <xf numFmtId="167" fontId="5" fillId="8" borderId="3" xfId="6" applyNumberFormat="1" applyFont="1" applyFill="1" applyBorder="1" applyAlignment="1" applyProtection="1">
      <alignment horizontal="center"/>
      <protection hidden="1"/>
    </xf>
    <xf numFmtId="167" fontId="13" fillId="4" borderId="5" xfId="6" applyNumberFormat="1" applyFont="1" applyFill="1" applyBorder="1" applyAlignment="1" applyProtection="1">
      <alignment horizontal="center" vertical="center"/>
      <protection hidden="1"/>
    </xf>
    <xf numFmtId="167" fontId="13" fillId="4" borderId="3" xfId="6" applyNumberFormat="1" applyFont="1" applyFill="1" applyBorder="1" applyAlignment="1" applyProtection="1">
      <alignment horizontal="center" vertical="center"/>
      <protection hidden="1"/>
    </xf>
    <xf numFmtId="0" fontId="13" fillId="4" borderId="8" xfId="0" applyFont="1" applyFill="1" applyBorder="1" applyAlignment="1" applyProtection="1">
      <alignment horizontal="center" vertical="center"/>
      <protection hidden="1"/>
    </xf>
    <xf numFmtId="0" fontId="13" fillId="4" borderId="9" xfId="0" applyFont="1" applyFill="1" applyBorder="1" applyAlignment="1" applyProtection="1">
      <alignment horizontal="center" vertical="center"/>
      <protection hidden="1"/>
    </xf>
    <xf numFmtId="0" fontId="12" fillId="4" borderId="26" xfId="0" applyFont="1" applyFill="1" applyBorder="1" applyAlignment="1" applyProtection="1">
      <alignment horizontal="center" vertical="center"/>
      <protection hidden="1"/>
    </xf>
    <xf numFmtId="0" fontId="12" fillId="4" borderId="4" xfId="0" applyFont="1" applyFill="1" applyBorder="1" applyAlignment="1" applyProtection="1">
      <alignment horizontal="center" vertical="center"/>
      <protection hidden="1"/>
    </xf>
    <xf numFmtId="0" fontId="5" fillId="3" borderId="17" xfId="0" applyFont="1" applyFill="1" applyBorder="1" applyAlignment="1" applyProtection="1">
      <alignment horizontal="left"/>
      <protection hidden="1"/>
    </xf>
    <xf numFmtId="0" fontId="5" fillId="3" borderId="1" xfId="0" applyFont="1" applyFill="1" applyBorder="1" applyAlignment="1" applyProtection="1">
      <alignment horizontal="left"/>
      <protection hidden="1"/>
    </xf>
    <xf numFmtId="0" fontId="5" fillId="3" borderId="11" xfId="0" applyFont="1" applyFill="1" applyBorder="1" applyAlignment="1" applyProtection="1">
      <alignment horizontal="left"/>
      <protection hidden="1"/>
    </xf>
    <xf numFmtId="0" fontId="7" fillId="13" borderId="14" xfId="0" applyFont="1" applyFill="1" applyBorder="1" applyAlignment="1" applyProtection="1">
      <alignment horizontal="center" vertical="center" wrapText="1"/>
      <protection hidden="1"/>
    </xf>
    <xf numFmtId="0" fontId="7" fillId="13" borderId="15" xfId="0" applyFont="1" applyFill="1" applyBorder="1" applyAlignment="1" applyProtection="1">
      <alignment horizontal="center" vertical="center" wrapText="1"/>
      <protection hidden="1"/>
    </xf>
    <xf numFmtId="0" fontId="7" fillId="13" borderId="16" xfId="0" applyFont="1" applyFill="1" applyBorder="1" applyAlignment="1" applyProtection="1">
      <alignment horizontal="center" vertical="center" wrapText="1"/>
      <protection hidden="1"/>
    </xf>
    <xf numFmtId="0" fontId="17" fillId="11" borderId="17" xfId="0" applyFont="1" applyFill="1" applyBorder="1" applyAlignment="1" applyProtection="1">
      <alignment horizontal="center" vertical="center" wrapText="1"/>
      <protection hidden="1"/>
    </xf>
    <xf numFmtId="0" fontId="17" fillId="11" borderId="1" xfId="0" applyFont="1" applyFill="1" applyBorder="1" applyAlignment="1" applyProtection="1">
      <alignment horizontal="center" vertical="center" wrapText="1"/>
      <protection hidden="1"/>
    </xf>
    <xf numFmtId="0" fontId="17" fillId="11" borderId="18" xfId="0" applyFont="1" applyFill="1" applyBorder="1" applyAlignment="1" applyProtection="1">
      <alignment horizontal="center" vertical="center" wrapText="1"/>
      <protection hidden="1"/>
    </xf>
    <xf numFmtId="167" fontId="13" fillId="13" borderId="7" xfId="6" applyNumberFormat="1" applyFont="1" applyFill="1" applyBorder="1" applyAlignment="1" applyProtection="1">
      <alignment horizontal="center" vertical="center"/>
      <protection hidden="1"/>
    </xf>
    <xf numFmtId="167" fontId="13" fillId="13" borderId="10" xfId="6" applyNumberFormat="1" applyFont="1" applyFill="1" applyBorder="1" applyAlignment="1" applyProtection="1">
      <alignment horizontal="center" vertical="center"/>
      <protection hidden="1"/>
    </xf>
    <xf numFmtId="0" fontId="5" fillId="12" borderId="4" xfId="0" applyFont="1" applyFill="1" applyBorder="1" applyAlignment="1" applyProtection="1">
      <alignment horizontal="center"/>
      <protection locked="0"/>
    </xf>
    <xf numFmtId="0" fontId="5" fillId="3" borderId="24" xfId="0" applyFont="1" applyFill="1" applyBorder="1" applyAlignment="1" applyProtection="1">
      <alignment horizontal="left"/>
      <protection hidden="1"/>
    </xf>
    <xf numFmtId="0" fontId="5" fillId="3" borderId="2" xfId="0" applyFont="1" applyFill="1" applyBorder="1" applyAlignment="1" applyProtection="1">
      <alignment horizontal="left"/>
      <protection hidden="1"/>
    </xf>
    <xf numFmtId="0" fontId="5" fillId="3" borderId="19" xfId="0" applyFont="1" applyFill="1" applyBorder="1" applyAlignment="1" applyProtection="1">
      <alignment horizontal="center"/>
      <protection hidden="1"/>
    </xf>
    <xf numFmtId="0" fontId="5" fillId="3" borderId="0" xfId="0" applyFont="1" applyFill="1" applyAlignment="1" applyProtection="1">
      <alignment horizontal="center"/>
      <protection hidden="1"/>
    </xf>
    <xf numFmtId="0" fontId="9" fillId="13" borderId="19" xfId="0" applyFont="1" applyFill="1" applyBorder="1" applyAlignment="1" applyProtection="1">
      <alignment horizontal="center" vertical="center"/>
      <protection hidden="1"/>
    </xf>
    <xf numFmtId="0" fontId="9" fillId="13" borderId="0" xfId="0" applyFont="1" applyFill="1" applyAlignment="1" applyProtection="1">
      <alignment horizontal="center" vertical="center"/>
      <protection hidden="1"/>
    </xf>
    <xf numFmtId="0" fontId="9" fillId="13" borderId="10" xfId="0" applyFont="1" applyFill="1" applyBorder="1" applyAlignment="1" applyProtection="1">
      <alignment horizontal="center" vertical="center"/>
      <protection hidden="1"/>
    </xf>
    <xf numFmtId="0" fontId="5" fillId="3" borderId="22" xfId="0" applyFont="1" applyFill="1" applyBorder="1" applyAlignment="1" applyProtection="1">
      <alignment horizontal="left"/>
      <protection hidden="1"/>
    </xf>
    <xf numFmtId="0" fontId="5" fillId="3" borderId="3" xfId="0" applyFont="1" applyFill="1" applyBorder="1" applyAlignment="1" applyProtection="1">
      <alignment horizontal="left"/>
      <protection hidden="1"/>
    </xf>
    <xf numFmtId="167" fontId="10" fillId="0" borderId="4" xfId="6" applyNumberFormat="1" applyFont="1" applyFill="1" applyBorder="1" applyAlignment="1" applyProtection="1">
      <alignment horizontal="right"/>
      <protection hidden="1"/>
    </xf>
    <xf numFmtId="0" fontId="11" fillId="3" borderId="0" xfId="0" applyFont="1" applyFill="1" applyAlignment="1" applyProtection="1">
      <alignment horizontal="center" vertical="center" wrapText="1"/>
      <protection hidden="1"/>
    </xf>
    <xf numFmtId="0" fontId="5" fillId="3" borderId="6" xfId="0" applyFont="1" applyFill="1" applyBorder="1" applyAlignment="1" applyProtection="1">
      <alignment horizontal="left"/>
      <protection hidden="1"/>
    </xf>
    <xf numFmtId="10" fontId="5" fillId="3" borderId="7" xfId="0" applyNumberFormat="1" applyFont="1" applyFill="1" applyBorder="1" applyAlignment="1" applyProtection="1">
      <alignment horizontal="center"/>
      <protection hidden="1"/>
    </xf>
    <xf numFmtId="10" fontId="5" fillId="3" borderId="0" xfId="0" applyNumberFormat="1" applyFont="1" applyFill="1" applyAlignment="1" applyProtection="1">
      <alignment horizontal="center"/>
      <protection hidden="1"/>
    </xf>
    <xf numFmtId="10" fontId="5" fillId="3" borderId="10" xfId="0" applyNumberFormat="1" applyFont="1" applyFill="1" applyBorder="1" applyAlignment="1" applyProtection="1">
      <alignment horizontal="center"/>
      <protection hidden="1"/>
    </xf>
    <xf numFmtId="0" fontId="3" fillId="8" borderId="43" xfId="0" applyFont="1" applyFill="1" applyBorder="1" applyAlignment="1">
      <alignment horizontal="left"/>
    </xf>
    <xf numFmtId="0" fontId="3" fillId="8" borderId="1" xfId="0" applyFont="1" applyFill="1" applyBorder="1" applyAlignment="1">
      <alignment horizontal="left"/>
    </xf>
    <xf numFmtId="0" fontId="25" fillId="2" borderId="0" xfId="0" applyFont="1" applyFill="1" applyAlignment="1">
      <alignment horizontal="center"/>
    </xf>
    <xf numFmtId="0" fontId="26" fillId="3" borderId="0" xfId="0" applyFont="1" applyFill="1" applyAlignment="1">
      <alignment horizontal="center"/>
    </xf>
    <xf numFmtId="0" fontId="25" fillId="4" borderId="5" xfId="0" applyFont="1" applyFill="1" applyBorder="1" applyAlignment="1">
      <alignment horizontal="left"/>
    </xf>
    <xf numFmtId="0" fontId="25" fillId="4" borderId="3" xfId="0" applyFont="1" applyFill="1" applyBorder="1" applyAlignment="1">
      <alignment horizontal="left"/>
    </xf>
    <xf numFmtId="0" fontId="3" fillId="9" borderId="13" xfId="0" applyFont="1" applyFill="1" applyBorder="1" applyAlignment="1">
      <alignment horizontal="center" vertical="center" wrapText="1"/>
    </xf>
    <xf numFmtId="0" fontId="3" fillId="9" borderId="35" xfId="0" applyFont="1" applyFill="1" applyBorder="1" applyAlignment="1">
      <alignment horizontal="center" vertical="center" wrapText="1"/>
    </xf>
    <xf numFmtId="0" fontId="3" fillId="9" borderId="12" xfId="0" applyFont="1" applyFill="1" applyBorder="1" applyAlignment="1">
      <alignment horizontal="center" vertical="center" wrapText="1"/>
    </xf>
    <xf numFmtId="0" fontId="3" fillId="9" borderId="13" xfId="0" applyFont="1" applyFill="1" applyBorder="1" applyAlignment="1">
      <alignment horizontal="center" vertical="center"/>
    </xf>
    <xf numFmtId="0" fontId="3" fillId="9" borderId="35" xfId="0" applyFont="1" applyFill="1" applyBorder="1" applyAlignment="1">
      <alignment horizontal="center" vertical="center"/>
    </xf>
    <xf numFmtId="0" fontId="3" fillId="9" borderId="12" xfId="0" applyFont="1" applyFill="1" applyBorder="1" applyAlignment="1">
      <alignment horizontal="center" vertical="center"/>
    </xf>
    <xf numFmtId="0" fontId="25" fillId="4" borderId="5" xfId="0" applyFont="1" applyFill="1" applyBorder="1" applyAlignment="1">
      <alignment horizontal="center"/>
    </xf>
    <xf numFmtId="0" fontId="25" fillId="4" borderId="3" xfId="0" applyFont="1" applyFill="1" applyBorder="1" applyAlignment="1">
      <alignment horizontal="center"/>
    </xf>
    <xf numFmtId="0" fontId="25" fillId="4" borderId="6" xfId="0" applyFont="1" applyFill="1" applyBorder="1" applyAlignment="1">
      <alignment horizontal="center"/>
    </xf>
    <xf numFmtId="0" fontId="3" fillId="8" borderId="7" xfId="0" applyFont="1" applyFill="1" applyBorder="1" applyAlignment="1">
      <alignment horizontal="left"/>
    </xf>
    <xf numFmtId="0" fontId="3" fillId="8" borderId="0" xfId="0" applyFont="1" applyFill="1" applyAlignment="1">
      <alignment horizontal="left"/>
    </xf>
    <xf numFmtId="173" fontId="30" fillId="2" borderId="5" xfId="0" applyNumberFormat="1" applyFont="1" applyFill="1" applyBorder="1" applyAlignment="1">
      <alignment horizontal="center" vertical="center"/>
    </xf>
    <xf numFmtId="173" fontId="30" fillId="2" borderId="3" xfId="0" applyNumberFormat="1" applyFont="1" applyFill="1" applyBorder="1" applyAlignment="1">
      <alignment horizontal="center" vertical="center"/>
    </xf>
    <xf numFmtId="173" fontId="30" fillId="2" borderId="6" xfId="0" applyNumberFormat="1" applyFont="1" applyFill="1" applyBorder="1" applyAlignment="1">
      <alignment horizontal="center" vertical="center"/>
    </xf>
    <xf numFmtId="9" fontId="32" fillId="0" borderId="5" xfId="0" applyNumberFormat="1" applyFont="1" applyBorder="1" applyAlignment="1">
      <alignment horizontal="center" vertical="center"/>
    </xf>
    <xf numFmtId="9" fontId="32" fillId="0" borderId="3" xfId="0" applyNumberFormat="1" applyFont="1" applyBorder="1" applyAlignment="1">
      <alignment horizontal="center" vertical="center"/>
    </xf>
    <xf numFmtId="9" fontId="32" fillId="0" borderId="6" xfId="0" applyNumberFormat="1" applyFont="1" applyBorder="1" applyAlignment="1">
      <alignment horizontal="center" vertical="center"/>
    </xf>
    <xf numFmtId="9" fontId="32" fillId="0" borderId="4" xfId="0" applyNumberFormat="1" applyFont="1" applyBorder="1" applyAlignment="1">
      <alignment horizontal="center" vertical="center"/>
    </xf>
    <xf numFmtId="0" fontId="19" fillId="2" borderId="0" xfId="0" applyFont="1" applyFill="1" applyAlignment="1">
      <alignment horizontal="center"/>
    </xf>
    <xf numFmtId="0" fontId="27" fillId="8" borderId="45" xfId="0" applyFont="1" applyFill="1" applyBorder="1" applyAlignment="1">
      <alignment horizontal="center"/>
    </xf>
    <xf numFmtId="0" fontId="27" fillId="8" borderId="46" xfId="0" applyFont="1" applyFill="1" applyBorder="1" applyAlignment="1">
      <alignment horizontal="center"/>
    </xf>
    <xf numFmtId="0" fontId="19" fillId="4" borderId="7" xfId="0" applyFont="1" applyFill="1" applyBorder="1" applyAlignment="1">
      <alignment horizontal="center" vertical="center"/>
    </xf>
    <xf numFmtId="0" fontId="19" fillId="4" borderId="0" xfId="0" applyFont="1" applyFill="1" applyAlignment="1">
      <alignment horizontal="center" vertical="center"/>
    </xf>
    <xf numFmtId="0" fontId="25" fillId="2" borderId="12" xfId="0" applyFont="1" applyFill="1" applyBorder="1" applyAlignment="1">
      <alignment horizontal="center" vertical="center"/>
    </xf>
    <xf numFmtId="0" fontId="3" fillId="8" borderId="8" xfId="0" applyFont="1" applyFill="1" applyBorder="1" applyAlignment="1">
      <alignment horizontal="center" vertical="top" wrapText="1"/>
    </xf>
    <xf numFmtId="0" fontId="3" fillId="8" borderId="2" xfId="0" applyFont="1" applyFill="1" applyBorder="1" applyAlignment="1">
      <alignment horizontal="center" vertical="top" wrapText="1"/>
    </xf>
    <xf numFmtId="0" fontId="3" fillId="8" borderId="9" xfId="0" applyFont="1" applyFill="1" applyBorder="1" applyAlignment="1">
      <alignment horizontal="center" vertical="top" wrapText="1"/>
    </xf>
    <xf numFmtId="0" fontId="3" fillId="8" borderId="7" xfId="0" applyFont="1" applyFill="1" applyBorder="1" applyAlignment="1">
      <alignment horizontal="center" vertical="top" wrapText="1"/>
    </xf>
    <xf numFmtId="0" fontId="3" fillId="8" borderId="0" xfId="0" applyFont="1" applyFill="1" applyAlignment="1">
      <alignment horizontal="center" vertical="top" wrapText="1"/>
    </xf>
    <xf numFmtId="0" fontId="3" fillId="8" borderId="10" xfId="0" applyFont="1" applyFill="1" applyBorder="1" applyAlignment="1">
      <alignment horizontal="center" vertical="top" wrapText="1"/>
    </xf>
    <xf numFmtId="0" fontId="25" fillId="4" borderId="12" xfId="0" applyFont="1" applyFill="1" applyBorder="1" applyAlignment="1">
      <alignment horizontal="center" vertical="center"/>
    </xf>
    <xf numFmtId="0" fontId="25" fillId="2" borderId="4" xfId="0" applyFont="1" applyFill="1" applyBorder="1" applyAlignment="1">
      <alignment horizontal="center" vertical="center"/>
    </xf>
    <xf numFmtId="0" fontId="3" fillId="8" borderId="4" xfId="0" applyFont="1" applyFill="1" applyBorder="1" applyAlignment="1">
      <alignment horizontal="left" vertical="top" wrapText="1"/>
    </xf>
    <xf numFmtId="0" fontId="18" fillId="0" borderId="12" xfId="0" applyFont="1" applyBorder="1" applyAlignment="1">
      <alignment horizontal="center" vertical="center" wrapText="1"/>
    </xf>
    <xf numFmtId="0" fontId="18" fillId="0" borderId="4" xfId="0" applyFont="1" applyBorder="1" applyAlignment="1">
      <alignment horizontal="center" vertical="center" wrapText="1"/>
    </xf>
    <xf numFmtId="0" fontId="18" fillId="0" borderId="13" xfId="0" applyFont="1" applyBorder="1" applyAlignment="1">
      <alignment horizontal="center" vertical="center" wrapText="1"/>
    </xf>
    <xf numFmtId="0" fontId="18" fillId="0" borderId="5" xfId="0" applyFont="1" applyBorder="1" applyAlignment="1">
      <alignment horizontal="center" vertical="center"/>
    </xf>
    <xf numFmtId="0" fontId="18" fillId="0" borderId="6" xfId="0" applyFont="1" applyBorder="1" applyAlignment="1">
      <alignment horizontal="center" vertical="center"/>
    </xf>
    <xf numFmtId="0" fontId="18" fillId="17" borderId="5" xfId="0" applyFont="1" applyFill="1" applyBorder="1" applyAlignment="1">
      <alignment horizontal="center" vertical="center" wrapText="1"/>
    </xf>
    <xf numFmtId="0" fontId="18" fillId="17" borderId="6" xfId="0" applyFont="1" applyFill="1" applyBorder="1" applyAlignment="1">
      <alignment horizontal="center" vertical="center" wrapText="1"/>
    </xf>
    <xf numFmtId="0" fontId="18" fillId="0" borderId="36" xfId="0" applyFont="1" applyBorder="1" applyAlignment="1">
      <alignment horizontal="center"/>
    </xf>
    <xf numFmtId="0" fontId="18" fillId="0" borderId="37" xfId="0" applyFont="1" applyBorder="1" applyAlignment="1">
      <alignment horizontal="center"/>
    </xf>
    <xf numFmtId="0" fontId="18" fillId="0" borderId="38" xfId="0" applyFont="1" applyBorder="1" applyAlignment="1">
      <alignment horizontal="center"/>
    </xf>
    <xf numFmtId="0" fontId="0" fillId="0" borderId="39" xfId="0" applyBorder="1" applyAlignment="1">
      <alignment horizontal="left" vertical="top" wrapText="1"/>
    </xf>
    <xf numFmtId="0" fontId="18" fillId="0" borderId="0" xfId="0" applyFont="1" applyAlignment="1">
      <alignment horizontal="left" wrapText="1"/>
    </xf>
    <xf numFmtId="0" fontId="0" fillId="0" borderId="0" xfId="0" applyAlignment="1">
      <alignment horizontal="left" vertical="center" wrapText="1"/>
    </xf>
    <xf numFmtId="0" fontId="0" fillId="0" borderId="0" xfId="0" applyAlignment="1">
      <alignment horizontal="left" wrapText="1"/>
    </xf>
    <xf numFmtId="0" fontId="0" fillId="9" borderId="40" xfId="0" applyFill="1" applyBorder="1" applyAlignment="1">
      <alignment horizontal="left"/>
    </xf>
    <xf numFmtId="0" fontId="0" fillId="10" borderId="0" xfId="0" applyFill="1" applyAlignment="1">
      <alignment horizontal="center"/>
    </xf>
    <xf numFmtId="0" fontId="0" fillId="0" borderId="0" xfId="0" applyAlignment="1">
      <alignment horizontal="right"/>
    </xf>
    <xf numFmtId="0" fontId="36" fillId="0" borderId="0" xfId="0" applyFont="1" applyAlignment="1">
      <alignment horizontal="right"/>
    </xf>
    <xf numFmtId="0" fontId="0" fillId="10" borderId="0" xfId="0" applyFill="1" applyAlignment="1">
      <alignment horizontal="left"/>
    </xf>
    <xf numFmtId="0" fontId="0" fillId="0" borderId="36" xfId="0" applyBorder="1" applyAlignment="1">
      <alignment horizontal="center"/>
    </xf>
    <xf numFmtId="0" fontId="0" fillId="0" borderId="37" xfId="0" applyBorder="1" applyAlignment="1">
      <alignment horizontal="center"/>
    </xf>
    <xf numFmtId="0" fontId="0" fillId="0" borderId="38" xfId="0" applyBorder="1" applyAlignment="1">
      <alignment horizontal="center"/>
    </xf>
    <xf numFmtId="0" fontId="0" fillId="0" borderId="52" xfId="0" applyBorder="1" applyAlignment="1">
      <alignment horizontal="left" wrapText="1"/>
    </xf>
    <xf numFmtId="0" fontId="14" fillId="2" borderId="0" xfId="0" applyFont="1" applyFill="1" applyAlignment="1">
      <alignment horizontal="center"/>
    </xf>
    <xf numFmtId="0" fontId="18" fillId="8" borderId="0" xfId="0" applyFont="1" applyFill="1" applyAlignment="1">
      <alignment horizontal="center"/>
    </xf>
  </cellXfs>
  <cellStyles count="9">
    <cellStyle name="Hipervínculo" xfId="8" builtinId="8"/>
    <cellStyle name="Millares" xfId="1" builtinId="3"/>
    <cellStyle name="Millares 2" xfId="5" xr:uid="{00000000-0005-0000-0000-000002000000}"/>
    <cellStyle name="Moneda" xfId="6" builtinId="4"/>
    <cellStyle name="Moneda [0]" xfId="7" builtinId="7"/>
    <cellStyle name="Normal" xfId="0" builtinId="0"/>
    <cellStyle name="Normal 2" xfId="3" xr:uid="{00000000-0005-0000-0000-000006000000}"/>
    <cellStyle name="Porcentaje" xfId="2" builtinId="5"/>
    <cellStyle name="Porcentual 2" xfId="4" xr:uid="{00000000-0005-0000-0000-000008000000}"/>
  </cellStyles>
  <dxfs count="15">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ndense val="0"/>
        <extend val="0"/>
        <color indexed="12"/>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0"/>
      </font>
    </dxf>
    <dxf>
      <font>
        <condense val="0"/>
        <extend val="0"/>
        <color indexed="12"/>
      </font>
    </dxf>
    <dxf>
      <font>
        <condense val="0"/>
        <extend val="0"/>
        <color indexed="10"/>
      </font>
    </dxf>
    <dxf>
      <font>
        <condense val="0"/>
        <extend val="0"/>
        <color indexed="10"/>
      </font>
    </dxf>
    <dxf>
      <font>
        <condense val="0"/>
        <extend val="0"/>
        <color indexed="10"/>
      </font>
    </dxf>
    <dxf>
      <font>
        <condense val="0"/>
        <extend val="0"/>
        <color indexed="10"/>
      </font>
    </dxf>
  </dxfs>
  <tableStyles count="0" defaultTableStyle="TableStyleMedium9" defaultPivotStyle="PivotStyleLight16"/>
  <colors>
    <mruColors>
      <color rgb="FF0D223F"/>
      <color rgb="FF2AD43A"/>
      <color rgb="FF6C9B6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png"/></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400CreditoOperaciones/410Comercial/Fabrica_Creditos/2024/Desembolsos/Abr_2024/04_04_2024/Buritica_44123539/DG_Buritica_4412353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imulador"/>
      <sheetName val="Plan de pagos"/>
      <sheetName val="Flujo Empleado"/>
      <sheetName val="Analisis"/>
      <sheetName val="Guion"/>
      <sheetName val="Referenciación"/>
      <sheetName val="Preguntas_Reto"/>
      <sheetName val="Fotos"/>
      <sheetName val="Recuperos"/>
      <sheetName val="Evidencia Fotografica"/>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persons/person.xml><?xml version="1.0" encoding="utf-8"?>
<personList xmlns="http://schemas.microsoft.com/office/spreadsheetml/2018/threadedcomments" xmlns:x="http://schemas.openxmlformats.org/spreadsheetml/2006/main">
  <person displayName="Daniela Arias" id="{8455A841-2C5A-4F28-8CAD-0FFD14EB5983}" userId="00e319e76b952a5f"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6" dT="2022-08-18T20:14:27.67" personId="{8455A841-2C5A-4F28-8CAD-0FFD14EB5983}" id="{01194A59-06DA-4DC8-B7F5-CDF77A280F33}">
    <text>El interés aplicado al crédito, es de acuerdo al cambio informado por las autoridades nacionales (superintendencia financiera de colombia). Las cuales certifican la tasa maxima que puede ser cobrada en el mes.</text>
  </threadedComment>
  <threadedComment ref="B17" dT="2022-08-18T20:19:29.02" personId="{8455A841-2C5A-4F28-8CAD-0FFD14EB5983}" id="{B2750E12-A6E8-447A-BF40-A8C8B00354B6}">
    <text>Póliza de aseguramiento sobre el valor del crédito, en caso de muerte o invalidez total del titular.</text>
  </threadedComment>
  <threadedComment ref="B18" dT="2022-08-18T20:24:10.23" personId="{8455A841-2C5A-4F28-8CAD-0FFD14EB5983}" id="{CF0BE1DB-AC65-418D-B05C-7E7FD9EFFEFC}">
    <text>Corresponde al fondo de cobertura, entidad que avala y representa garantías para el pago de tu préstamo. Este valor incluye IVA.</text>
  </threadedComment>
  <threadedComment ref="B19" dT="2022-08-18T20:28:23.31" personId="{8455A841-2C5A-4F28-8CAD-0FFD14EB5983}" id="{9BEAB1CF-B0EE-41A9-9C03-64BF6592EDC1}">
    <text>Cargo aplicado a la instrumentación digital del prestamo. Incluye IVA</text>
  </threadedComment>
  <threadedComment ref="B20" dT="2022-08-18T20:30:41.54" personId="{8455A841-2C5A-4F28-8CAD-0FFD14EB5983}" id="{33DF8C03-0594-460F-A272-33EF42E7398D}">
    <text>Tarifa asociada a la creación y  mantenimiento de tu prestamo, la cual se suma al valor capital del crédito.</text>
  </threadedComment>
  <threadedComment ref="B21" dT="2022-08-18T20:33:03.99" personId="{8455A841-2C5A-4F28-8CAD-0FFD14EB5983}" id="{8ECA683F-7ADD-4001-B057-6B9DA0CC7C44}">
    <text>Finalco busca promoveer el uso de herramientas tecnologicas que facilitan el acceso de crédito a personas. Por lo cual se genera esta bonificación de inclusión financiera.</text>
  </threadedComment>
  <threadedComment ref="B22" dT="2022-08-18T20:34:49.59" personId="{8455A841-2C5A-4F28-8CAD-0FFD14EB5983}" id="{159544C7-1E6B-496A-AAF1-F11913B8795F}">
    <text>Este valor corresponde a una simulación de tu crédito, según los datos seleccionados por ti.</text>
  </threadedComment>
</ThreadedComments>
</file>

<file path=xl/worksheets/_rels/sheet1.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hyperlink" Target="https://finalco.com.co/firma_pagare/"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hyperlink" Target="https://www.youtube.com/watch?v=rIN4zjCPmq8" TargetMode="External"/><Relationship Id="rId1" Type="http://schemas.openxmlformats.org/officeDocument/2006/relationships/hyperlink" Target="https://www.youtube.com/watch?v=aYt_zxMKKwM&amp;t=5s"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O22"/>
  <sheetViews>
    <sheetView showGridLines="0" workbookViewId="0">
      <selection activeCell="A22" sqref="A22"/>
    </sheetView>
  </sheetViews>
  <sheetFormatPr baseColWidth="10" defaultRowHeight="14.25" x14ac:dyDescent="0.45"/>
  <cols>
    <col min="1" max="1" width="30" customWidth="1"/>
    <col min="3" max="3" width="5.86328125" style="79" customWidth="1"/>
    <col min="4" max="4" width="6.73046875" style="79" customWidth="1"/>
    <col min="5" max="5" width="5.86328125" style="79" customWidth="1"/>
    <col min="6" max="6" width="11.3984375" style="79" bestFit="1" customWidth="1"/>
    <col min="7" max="7" width="5.86328125" hidden="1" customWidth="1"/>
    <col min="8" max="8" width="7.59765625" hidden="1" customWidth="1"/>
    <col min="9" max="9" width="13.59765625" customWidth="1"/>
    <col min="10" max="10" width="3.3984375" hidden="1" customWidth="1"/>
  </cols>
  <sheetData>
    <row r="3" spans="1:15" x14ac:dyDescent="0.45">
      <c r="A3" s="94" t="s">
        <v>55</v>
      </c>
    </row>
    <row r="5" spans="1:15" ht="24" customHeight="1" x14ac:dyDescent="0.45">
      <c r="B5" s="84" t="s">
        <v>16</v>
      </c>
      <c r="C5" s="248" t="s">
        <v>45</v>
      </c>
      <c r="D5" s="248"/>
      <c r="E5" s="248"/>
      <c r="F5" s="98" t="s">
        <v>17</v>
      </c>
      <c r="G5" s="95"/>
      <c r="H5" s="95"/>
      <c r="I5" s="249" t="s">
        <v>18</v>
      </c>
      <c r="J5" s="249"/>
      <c r="K5" s="84" t="s">
        <v>0</v>
      </c>
      <c r="L5" s="85" t="s">
        <v>26</v>
      </c>
      <c r="M5" s="85" t="s">
        <v>44</v>
      </c>
      <c r="N5" s="86" t="s">
        <v>16</v>
      </c>
      <c r="O5" s="86" t="s">
        <v>21</v>
      </c>
    </row>
    <row r="6" spans="1:15" x14ac:dyDescent="0.45">
      <c r="B6" s="40">
        <v>0</v>
      </c>
      <c r="C6" s="246"/>
      <c r="D6" s="246"/>
      <c r="E6" s="246"/>
      <c r="F6" s="97" cm="1">
        <f t="array" ref="F6:H6">+'Plan de pagos'!F18:H18</f>
        <v>480000</v>
      </c>
      <c r="G6" s="100">
        <v>0</v>
      </c>
      <c r="H6" s="100">
        <v>0</v>
      </c>
      <c r="I6" s="55"/>
      <c r="J6" s="55"/>
      <c r="K6" s="55"/>
      <c r="L6" s="55"/>
      <c r="M6" s="55"/>
      <c r="N6" s="55"/>
      <c r="O6" s="55"/>
    </row>
    <row r="7" spans="1:15" x14ac:dyDescent="0.45">
      <c r="B7" s="9">
        <f>+'Plan de pagos'!B19</f>
        <v>1</v>
      </c>
      <c r="C7" s="81">
        <f>+'Plan de pagos'!C19</f>
        <v>11</v>
      </c>
      <c r="D7" s="81" t="str">
        <f>+'Plan de pagos'!D19</f>
        <v>Ago</v>
      </c>
      <c r="E7" s="81">
        <f>+'Plan de pagos'!E19</f>
        <v>2026</v>
      </c>
      <c r="F7" s="97" cm="1">
        <f t="array" ref="F7:H7">+'Plan de pagos'!F19:H19</f>
        <v>242530.0361220203</v>
      </c>
      <c r="G7" s="100">
        <v>0</v>
      </c>
      <c r="H7" s="100">
        <v>0</v>
      </c>
      <c r="I7" s="82" cm="1">
        <f t="array" ref="I7:J7">+'Plan de pagos'!J19:K19</f>
        <v>237469.9638779797</v>
      </c>
      <c r="J7" s="82">
        <v>0</v>
      </c>
      <c r="K7" s="80">
        <f>+'Plan de pagos'!L19</f>
        <v>10227.96583397593</v>
      </c>
      <c r="L7" s="80">
        <f>+'Plan de pagos'!M19</f>
        <v>912</v>
      </c>
      <c r="M7" s="80">
        <f>+'Plan de pagos'!N19</f>
        <v>56248.92</v>
      </c>
      <c r="N7" s="80">
        <f>+'Plan de pagos'!O19</f>
        <v>247697.92971195563</v>
      </c>
      <c r="O7" s="80">
        <f>+'Plan de pagos'!P19</f>
        <v>304858.84971195564</v>
      </c>
    </row>
    <row r="8" spans="1:15" x14ac:dyDescent="0.45">
      <c r="B8" s="9">
        <f>+'Plan de pagos'!B20</f>
        <v>2</v>
      </c>
      <c r="C8" s="81">
        <f>+'Plan de pagos'!C20</f>
        <v>11</v>
      </c>
      <c r="D8" s="81" t="str">
        <f>+'Plan de pagos'!D20</f>
        <v>Sep</v>
      </c>
      <c r="E8" s="81">
        <f>+'Plan de pagos'!E20</f>
        <v>2026</v>
      </c>
      <c r="F8" s="99" cm="1">
        <f t="array" ref="F8:H8">+'Plan de pagos'!F20:H20</f>
        <v>2.9103830456733704E-11</v>
      </c>
      <c r="G8" s="83">
        <v>0</v>
      </c>
      <c r="H8" s="83">
        <v>0</v>
      </c>
      <c r="I8" s="82" cm="1">
        <f t="array" ref="I8:J8">+'Plan de pagos'!J20:K20</f>
        <v>242530.03612202028</v>
      </c>
      <c r="J8" s="83">
        <v>0</v>
      </c>
      <c r="K8" s="80">
        <f>+'Plan de pagos'!L20</f>
        <v>5167.8935899353573</v>
      </c>
      <c r="L8" s="80">
        <f>+'Plan de pagos'!M20</f>
        <v>912</v>
      </c>
      <c r="M8" s="80">
        <f>+'Plan de pagos'!N20</f>
        <v>56248.92</v>
      </c>
      <c r="N8" s="80">
        <f>+'Plan de pagos'!O20</f>
        <v>247697.92971195563</v>
      </c>
      <c r="O8" s="80">
        <f>+'Plan de pagos'!P20</f>
        <v>304858.84971195564</v>
      </c>
    </row>
    <row r="9" spans="1:15" x14ac:dyDescent="0.45">
      <c r="B9" s="247"/>
      <c r="C9" s="247"/>
      <c r="D9" s="247"/>
      <c r="E9" s="247"/>
      <c r="F9" s="247"/>
      <c r="G9" s="247"/>
      <c r="H9" s="247"/>
      <c r="I9" s="87" cm="1">
        <f t="array" ref="I9:J9">+'Plan de pagos'!J21:K21</f>
        <v>480000</v>
      </c>
      <c r="J9" s="87">
        <v>0</v>
      </c>
      <c r="K9" s="86">
        <f>+'Plan de pagos'!L21</f>
        <v>15395.859423911286</v>
      </c>
      <c r="L9" s="86">
        <f>+'Plan de pagos'!M21</f>
        <v>1824</v>
      </c>
      <c r="M9" s="88">
        <f>+'Plan de pagos'!N21</f>
        <v>112497.84</v>
      </c>
      <c r="N9" s="88">
        <f>+'Plan de pagos'!O21</f>
        <v>495395.85942391126</v>
      </c>
      <c r="O9" s="88">
        <f>+'Plan de pagos'!P21</f>
        <v>609717.69942391128</v>
      </c>
    </row>
    <row r="13" spans="1:15" x14ac:dyDescent="0.45">
      <c r="A13" s="94" t="s">
        <v>56</v>
      </c>
    </row>
    <row r="14" spans="1:15" x14ac:dyDescent="0.45">
      <c r="A14" s="94"/>
    </row>
    <row r="15" spans="1:15" x14ac:dyDescent="0.45">
      <c r="A15" s="91" t="s">
        <v>47</v>
      </c>
      <c r="B15" s="80">
        <f>+'Plan de pagos'!P14</f>
        <v>450000</v>
      </c>
    </row>
    <row r="16" spans="1:15" x14ac:dyDescent="0.45">
      <c r="A16" s="91" t="s">
        <v>48</v>
      </c>
      <c r="B16" s="92">
        <f>+K9</f>
        <v>15395.859423911286</v>
      </c>
    </row>
    <row r="17" spans="1:3" x14ac:dyDescent="0.45">
      <c r="A17" s="91" t="s">
        <v>49</v>
      </c>
      <c r="B17" s="92">
        <f>+L9</f>
        <v>1824</v>
      </c>
    </row>
    <row r="18" spans="1:3" x14ac:dyDescent="0.45">
      <c r="A18" s="91" t="s">
        <v>52</v>
      </c>
      <c r="B18" s="92">
        <f>+M9</f>
        <v>112497.84</v>
      </c>
    </row>
    <row r="19" spans="1:3" x14ac:dyDescent="0.45">
      <c r="A19" s="91" t="s">
        <v>54</v>
      </c>
      <c r="B19" s="92">
        <f>(+B15*3%)+7800</f>
        <v>21300</v>
      </c>
    </row>
    <row r="20" spans="1:3" x14ac:dyDescent="0.45">
      <c r="A20" s="91" t="s">
        <v>50</v>
      </c>
      <c r="B20" s="92">
        <v>30000</v>
      </c>
      <c r="C20" s="93"/>
    </row>
    <row r="21" spans="1:3" x14ac:dyDescent="0.45">
      <c r="A21" s="91" t="s">
        <v>51</v>
      </c>
      <c r="B21" s="92">
        <f>-B19</f>
        <v>-21300</v>
      </c>
    </row>
    <row r="22" spans="1:3" x14ac:dyDescent="0.45">
      <c r="A22" s="91" t="s">
        <v>53</v>
      </c>
      <c r="B22" s="91">
        <f>SUM(B15:B21)</f>
        <v>609717.69942391128</v>
      </c>
    </row>
  </sheetData>
  <mergeCells count="4">
    <mergeCell ref="C6:E6"/>
    <mergeCell ref="B9:H9"/>
    <mergeCell ref="C5:E5"/>
    <mergeCell ref="I5:J5"/>
  </mergeCells>
  <conditionalFormatting sqref="B6:B8">
    <cfRule type="cellIs" dxfId="14" priority="2" stopIfTrue="1" operator="equal">
      <formula>"Borrar"</formula>
    </cfRule>
  </conditionalFormatting>
  <conditionalFormatting sqref="C6">
    <cfRule type="cellIs" dxfId="13" priority="4" stopIfTrue="1" operator="equal">
      <formula>"Borrar"</formula>
    </cfRule>
  </conditionalFormatting>
  <conditionalFormatting sqref="C7:E8">
    <cfRule type="cellIs" dxfId="12" priority="3" stopIfTrue="1" operator="equal">
      <formula>"Borrar"</formula>
    </cfRule>
  </conditionalFormatting>
  <conditionalFormatting sqref="F6:F7">
    <cfRule type="cellIs" dxfId="11" priority="5" stopIfTrue="1" operator="equal">
      <formula>"Pago mayor"</formula>
    </cfRule>
  </conditionalFormatting>
  <conditionalFormatting sqref="F7">
    <cfRule type="cellIs" dxfId="10" priority="6" stopIfTrue="1" operator="equal">
      <formula>"Cancelado"</formula>
    </cfRule>
  </conditionalFormatting>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XEV214"/>
  <sheetViews>
    <sheetView showGridLines="0" topLeftCell="A3" zoomScale="83" zoomScaleNormal="100" zoomScaleSheetLayoutView="100" workbookViewId="0">
      <selection activeCell="F10" sqref="F10"/>
    </sheetView>
  </sheetViews>
  <sheetFormatPr baseColWidth="10" defaultColWidth="11.3984375" defaultRowHeight="13.15" zeroHeight="1" x14ac:dyDescent="0.4"/>
  <cols>
    <col min="1" max="1" width="1.265625" style="14" customWidth="1"/>
    <col min="2" max="2" width="7.3984375" style="27" customWidth="1"/>
    <col min="3" max="3" width="4" style="28" customWidth="1"/>
    <col min="4" max="4" width="4.86328125" style="28" bestFit="1" customWidth="1"/>
    <col min="5" max="5" width="6.86328125" style="28" customWidth="1"/>
    <col min="6" max="6" width="4.3984375" style="28" customWidth="1"/>
    <col min="7" max="7" width="4" style="28" customWidth="1"/>
    <col min="8" max="8" width="6" style="28" customWidth="1"/>
    <col min="9" max="9" width="12.265625" style="29" customWidth="1"/>
    <col min="10" max="10" width="8.73046875" style="29" customWidth="1"/>
    <col min="11" max="11" width="3.86328125" style="30" customWidth="1"/>
    <col min="12" max="12" width="13.59765625" style="30" customWidth="1"/>
    <col min="13" max="13" width="11.3984375" style="30" customWidth="1"/>
    <col min="14" max="14" width="12.73046875" style="30" customWidth="1"/>
    <col min="15" max="15" width="12.73046875" style="31" customWidth="1"/>
    <col min="16" max="16" width="13.73046875" style="12" customWidth="1"/>
    <col min="17" max="17" width="6.59765625" style="13" customWidth="1"/>
    <col min="18" max="16381" width="11.3984375" style="13"/>
    <col min="16382" max="16384" width="4.1328125" style="13" customWidth="1"/>
  </cols>
  <sheetData>
    <row r="1" spans="1:18 16376:16376" ht="6.6" customHeight="1" thickBot="1" x14ac:dyDescent="0.45">
      <c r="A1" s="32"/>
      <c r="B1" s="32"/>
      <c r="C1" s="32"/>
      <c r="D1" s="32"/>
      <c r="E1" s="32"/>
      <c r="F1" s="32"/>
      <c r="G1" s="32"/>
      <c r="H1" s="32"/>
      <c r="I1" s="32"/>
      <c r="J1" s="32"/>
      <c r="K1" s="32"/>
      <c r="L1" s="32"/>
      <c r="M1" s="32"/>
      <c r="N1" s="32"/>
      <c r="O1" s="32"/>
      <c r="P1" s="32"/>
    </row>
    <row r="2" spans="1:18 16376:16376" ht="22.5" customHeight="1" x14ac:dyDescent="0.4">
      <c r="A2" s="33"/>
      <c r="B2" s="281" t="s">
        <v>1</v>
      </c>
      <c r="C2" s="282"/>
      <c r="D2" s="282"/>
      <c r="E2" s="282"/>
      <c r="F2" s="282"/>
      <c r="G2" s="282"/>
      <c r="H2" s="282"/>
      <c r="I2" s="282"/>
      <c r="J2" s="282"/>
      <c r="K2" s="282"/>
      <c r="L2" s="282"/>
      <c r="M2" s="282"/>
      <c r="N2" s="282"/>
      <c r="O2" s="282"/>
      <c r="P2" s="283"/>
    </row>
    <row r="3" spans="1:18 16376:16376" ht="18" x14ac:dyDescent="0.4">
      <c r="A3" s="33"/>
      <c r="B3" s="284" t="s">
        <v>46</v>
      </c>
      <c r="C3" s="285"/>
      <c r="D3" s="285"/>
      <c r="E3" s="285"/>
      <c r="F3" s="285"/>
      <c r="G3" s="285"/>
      <c r="H3" s="285"/>
      <c r="I3" s="285"/>
      <c r="J3" s="285"/>
      <c r="K3" s="285"/>
      <c r="L3" s="285"/>
      <c r="M3" s="285"/>
      <c r="N3" s="285"/>
      <c r="O3" s="285"/>
      <c r="P3" s="286"/>
    </row>
    <row r="4" spans="1:18 16376:16376" ht="5.25" customHeight="1" x14ac:dyDescent="0.4">
      <c r="A4" s="33"/>
      <c r="B4" s="292"/>
      <c r="C4" s="293"/>
      <c r="D4" s="293"/>
      <c r="E4" s="293"/>
      <c r="F4" s="293"/>
      <c r="G4" s="293"/>
      <c r="H4" s="293"/>
      <c r="I4" s="32"/>
      <c r="J4" s="32"/>
      <c r="K4" s="32"/>
      <c r="L4" s="34"/>
      <c r="M4" s="34"/>
      <c r="N4" s="34"/>
      <c r="O4" s="34"/>
      <c r="P4" s="57"/>
    </row>
    <row r="5" spans="1:18 16376:16376" ht="21" customHeight="1" x14ac:dyDescent="0.4">
      <c r="A5" s="33"/>
      <c r="B5" s="294" t="s">
        <v>2</v>
      </c>
      <c r="C5" s="295"/>
      <c r="D5" s="295"/>
      <c r="E5" s="295"/>
      <c r="F5" s="295"/>
      <c r="G5" s="295"/>
      <c r="H5" s="296"/>
      <c r="I5" s="287" t="s">
        <v>43</v>
      </c>
      <c r="J5" s="288"/>
      <c r="K5" s="32"/>
      <c r="L5" s="41" t="s">
        <v>9</v>
      </c>
      <c r="M5" s="263" t="s">
        <v>265</v>
      </c>
      <c r="N5" s="263"/>
      <c r="O5" s="58"/>
      <c r="P5" s="59" t="s">
        <v>39</v>
      </c>
      <c r="R5" s="15"/>
      <c r="XEV5" s="13" t="s">
        <v>34</v>
      </c>
    </row>
    <row r="6" spans="1:18 16376:16376" ht="14.25" customHeight="1" x14ac:dyDescent="0.4">
      <c r="B6" s="297" t="s">
        <v>3</v>
      </c>
      <c r="C6" s="298"/>
      <c r="D6" s="298"/>
      <c r="E6" s="298"/>
      <c r="F6" s="299">
        <f>+P14+30000</f>
        <v>480000</v>
      </c>
      <c r="G6" s="299"/>
      <c r="H6" s="299"/>
      <c r="I6" s="35" t="s">
        <v>4</v>
      </c>
      <c r="J6" s="16">
        <v>0.28789999999999999</v>
      </c>
      <c r="K6" s="300"/>
      <c r="L6" s="41" t="s">
        <v>24</v>
      </c>
      <c r="M6" s="263">
        <v>1104701529</v>
      </c>
      <c r="N6" s="263"/>
      <c r="O6" s="58"/>
      <c r="P6" s="60" t="s">
        <v>40</v>
      </c>
      <c r="R6" s="15"/>
      <c r="XEV6" s="13" t="s">
        <v>35</v>
      </c>
    </row>
    <row r="7" spans="1:18 16376:16376" ht="13.5" customHeight="1" x14ac:dyDescent="0.4">
      <c r="B7" s="297" t="s">
        <v>5</v>
      </c>
      <c r="C7" s="298"/>
      <c r="D7" s="298"/>
      <c r="E7" s="301"/>
      <c r="F7" s="302">
        <f>+J7</f>
        <v>2.130826215411652E-2</v>
      </c>
      <c r="G7" s="303"/>
      <c r="H7" s="304"/>
      <c r="I7" s="36" t="s">
        <v>6</v>
      </c>
      <c r="J7" s="37">
        <f>((J6+1)^(0.0833333333333333))-1</f>
        <v>2.130826215411652E-2</v>
      </c>
      <c r="K7" s="300"/>
      <c r="L7" s="41" t="s">
        <v>30</v>
      </c>
      <c r="M7" s="263" t="s">
        <v>266</v>
      </c>
      <c r="N7" s="263"/>
      <c r="O7" s="58"/>
      <c r="P7" s="61" t="s">
        <v>41</v>
      </c>
      <c r="R7" s="15"/>
      <c r="XEV7" s="13" t="s">
        <v>36</v>
      </c>
    </row>
    <row r="8" spans="1:18 16376:16376" ht="13.5" customHeight="1" x14ac:dyDescent="0.4">
      <c r="B8" s="297" t="s">
        <v>7</v>
      </c>
      <c r="C8" s="298"/>
      <c r="D8" s="298"/>
      <c r="E8" s="298"/>
      <c r="F8" s="289">
        <v>2</v>
      </c>
      <c r="G8" s="289"/>
      <c r="H8" s="289"/>
      <c r="I8" s="36" t="s">
        <v>8</v>
      </c>
      <c r="J8" s="38">
        <f>+((1+J7)^3)-1</f>
        <v>6.5296587417168039E-2</v>
      </c>
      <c r="K8" s="300"/>
      <c r="L8" s="41" t="s">
        <v>31</v>
      </c>
      <c r="M8" s="263" t="s">
        <v>267</v>
      </c>
      <c r="N8" s="263"/>
      <c r="O8" s="58"/>
      <c r="P8" s="60" t="s">
        <v>42</v>
      </c>
      <c r="R8" s="15"/>
    </row>
    <row r="9" spans="1:18 16376:16376" ht="13.5" customHeight="1" x14ac:dyDescent="0.4">
      <c r="B9" s="290" t="s">
        <v>25</v>
      </c>
      <c r="C9" s="291"/>
      <c r="D9" s="291"/>
      <c r="E9" s="291"/>
      <c r="F9" s="49">
        <v>11</v>
      </c>
      <c r="G9" s="49">
        <v>7</v>
      </c>
      <c r="H9" s="50">
        <v>2026</v>
      </c>
      <c r="I9" s="36" t="s">
        <v>10</v>
      </c>
      <c r="J9" s="38">
        <f>+J8/(1+J8)</f>
        <v>6.1294280098541258E-2</v>
      </c>
      <c r="K9" s="300"/>
      <c r="L9" s="41" t="s">
        <v>32</v>
      </c>
      <c r="M9" s="263" t="s">
        <v>268</v>
      </c>
      <c r="N9" s="263"/>
      <c r="O9" s="58"/>
      <c r="P9" s="62">
        <v>4</v>
      </c>
      <c r="R9" s="15"/>
    </row>
    <row r="10" spans="1:18 16376:16376" ht="15.75" customHeight="1" x14ac:dyDescent="0.4">
      <c r="B10" s="278"/>
      <c r="C10" s="279"/>
      <c r="D10" s="279"/>
      <c r="E10" s="280"/>
      <c r="F10" s="51" t="s">
        <v>11</v>
      </c>
      <c r="G10" s="51" t="s">
        <v>12</v>
      </c>
      <c r="H10" s="51" t="s">
        <v>13</v>
      </c>
      <c r="I10" s="36" t="s">
        <v>27</v>
      </c>
      <c r="J10" s="39">
        <f>+F7*12</f>
        <v>0.25569914584939823</v>
      </c>
      <c r="K10" s="300"/>
      <c r="L10" s="41" t="s">
        <v>33</v>
      </c>
      <c r="M10" s="264" t="s">
        <v>212</v>
      </c>
      <c r="N10" s="264"/>
      <c r="O10" s="58"/>
      <c r="P10" s="63">
        <f>+(P14*10.504%)*1.19</f>
        <v>56248.92</v>
      </c>
      <c r="R10" s="15"/>
    </row>
    <row r="11" spans="1:18 16376:16376" ht="13.5" hidden="1" customHeight="1" x14ac:dyDescent="0.4">
      <c r="B11" s="64"/>
      <c r="C11" s="65"/>
      <c r="D11" s="65"/>
      <c r="E11" s="65"/>
      <c r="F11" s="65"/>
      <c r="G11" s="65"/>
      <c r="H11" s="65"/>
      <c r="I11" s="65"/>
      <c r="J11" s="65"/>
      <c r="K11" s="17"/>
      <c r="L11" s="18"/>
      <c r="M11" s="13"/>
      <c r="N11" s="18"/>
      <c r="O11" s="18"/>
      <c r="P11" s="66"/>
    </row>
    <row r="12" spans="1:18 16376:16376" ht="5.0999999999999996" customHeight="1" x14ac:dyDescent="0.4">
      <c r="B12" s="67"/>
      <c r="C12" s="12"/>
      <c r="D12" s="12"/>
      <c r="E12" s="12"/>
      <c r="F12" s="12"/>
      <c r="G12" s="12"/>
      <c r="H12" s="12"/>
      <c r="I12" s="12"/>
      <c r="J12" s="12"/>
      <c r="K12" s="19"/>
      <c r="L12" s="19"/>
      <c r="M12" s="13"/>
      <c r="N12" s="19"/>
      <c r="O12" s="19"/>
      <c r="P12" s="66"/>
    </row>
    <row r="13" spans="1:18 16376:16376" ht="16.5" customHeight="1" x14ac:dyDescent="0.4">
      <c r="A13" s="33"/>
      <c r="B13" s="276" t="s">
        <v>14</v>
      </c>
      <c r="C13" s="277"/>
      <c r="D13" s="277"/>
      <c r="E13" s="277"/>
      <c r="F13" s="277"/>
      <c r="G13" s="277"/>
      <c r="H13" s="277"/>
      <c r="I13" s="277"/>
      <c r="J13" s="277"/>
      <c r="K13" s="277"/>
      <c r="L13" s="256" t="s">
        <v>15</v>
      </c>
      <c r="M13" s="256"/>
      <c r="N13" s="255" t="s">
        <v>22</v>
      </c>
      <c r="O13" s="255"/>
      <c r="P13" s="68">
        <v>600000</v>
      </c>
      <c r="R13" s="15"/>
    </row>
    <row r="14" spans="1:18 16376:16376" ht="16.5" customHeight="1" x14ac:dyDescent="0.4">
      <c r="A14" s="33"/>
      <c r="B14" s="276"/>
      <c r="C14" s="277"/>
      <c r="D14" s="277"/>
      <c r="E14" s="277"/>
      <c r="F14" s="277"/>
      <c r="G14" s="277"/>
      <c r="H14" s="277"/>
      <c r="I14" s="277"/>
      <c r="J14" s="277"/>
      <c r="K14" s="277"/>
      <c r="L14" s="256"/>
      <c r="M14" s="256"/>
      <c r="N14" s="255" t="s">
        <v>23</v>
      </c>
      <c r="O14" s="255"/>
      <c r="P14" s="68">
        <v>450000</v>
      </c>
      <c r="R14" s="15"/>
    </row>
    <row r="15" spans="1:18 16376:16376" ht="4.5" customHeight="1" x14ac:dyDescent="0.4">
      <c r="A15" s="33"/>
      <c r="B15" s="69"/>
      <c r="C15" s="33"/>
      <c r="D15" s="33"/>
      <c r="E15" s="33"/>
      <c r="F15" s="33"/>
      <c r="G15" s="33"/>
      <c r="H15" s="33"/>
      <c r="I15" s="33"/>
      <c r="J15" s="33"/>
      <c r="K15" s="33"/>
      <c r="L15" s="33"/>
      <c r="M15" s="33"/>
      <c r="N15" s="33"/>
      <c r="O15" s="33"/>
      <c r="P15" s="70"/>
    </row>
    <row r="16" spans="1:18 16376:16376" ht="6.75" customHeight="1" x14ac:dyDescent="0.4">
      <c r="A16" s="33"/>
      <c r="B16" s="71"/>
      <c r="C16" s="54"/>
      <c r="D16" s="54"/>
      <c r="E16" s="54"/>
      <c r="F16" s="54"/>
      <c r="G16" s="54"/>
      <c r="H16" s="54"/>
      <c r="I16" s="54"/>
      <c r="J16" s="54"/>
      <c r="K16" s="54"/>
      <c r="L16" s="54"/>
      <c r="M16" s="54"/>
      <c r="N16" s="54"/>
      <c r="O16" s="54"/>
      <c r="P16" s="66"/>
    </row>
    <row r="17" spans="1:20" s="53" customFormat="1" ht="25.5" customHeight="1" x14ac:dyDescent="0.45">
      <c r="A17" s="52"/>
      <c r="B17" s="72" t="s">
        <v>16</v>
      </c>
      <c r="C17" s="260" t="s">
        <v>45</v>
      </c>
      <c r="D17" s="261"/>
      <c r="E17" s="262"/>
      <c r="F17" s="272" t="s">
        <v>17</v>
      </c>
      <c r="G17" s="273"/>
      <c r="H17" s="273"/>
      <c r="I17" s="89"/>
      <c r="J17" s="274" t="s">
        <v>18</v>
      </c>
      <c r="K17" s="275"/>
      <c r="L17" s="45" t="s">
        <v>0</v>
      </c>
      <c r="M17" s="56" t="s">
        <v>26</v>
      </c>
      <c r="N17" s="56" t="s">
        <v>44</v>
      </c>
      <c r="O17" s="44" t="s">
        <v>16</v>
      </c>
      <c r="P17" s="73" t="s">
        <v>21</v>
      </c>
    </row>
    <row r="18" spans="1:20" ht="13.5" customHeight="1" x14ac:dyDescent="0.45">
      <c r="A18" s="20"/>
      <c r="B18" s="74">
        <v>0</v>
      </c>
      <c r="C18" s="46">
        <f>F9</f>
        <v>11</v>
      </c>
      <c r="D18" s="47" t="str">
        <f>IF($G$9=1,"Ene",IF($G$9=2,"Feb",IF($G$9=3,"Mar",IF($G$9=4,"Abr",IF($G$9=5,"May",IF($G$9=6,"Jun",IF($G$9=7,"Jul",IF($G$9=8,"Ago",IF($G$9=9,"Sep",IF($G$9=10,"Oct",IF($G$9=11,"Nov","Dic")))))))))))</f>
        <v>Jul</v>
      </c>
      <c r="E18" s="48">
        <f>H9</f>
        <v>2026</v>
      </c>
      <c r="F18" s="265">
        <f>F6</f>
        <v>480000</v>
      </c>
      <c r="G18" s="266"/>
      <c r="H18" s="266"/>
      <c r="I18" s="257"/>
      <c r="J18" s="269"/>
      <c r="K18" s="270"/>
      <c r="L18" s="55"/>
      <c r="M18" s="55"/>
      <c r="N18" s="55"/>
      <c r="O18" s="55"/>
      <c r="P18" s="75"/>
      <c r="R18" s="254"/>
      <c r="S18" s="254"/>
      <c r="T18" s="21"/>
    </row>
    <row r="19" spans="1:20" ht="13.5" customHeight="1" x14ac:dyDescent="0.4">
      <c r="A19" s="42"/>
      <c r="B19" s="76">
        <f t="shared" ref="B19:B20" si="0">+IF(P19&gt;1,B18+1,"-")</f>
        <v>1</v>
      </c>
      <c r="C19" s="8">
        <f t="shared" ref="C19:C20" si="1">IF(J19&gt;0,$C$18,"-")</f>
        <v>11</v>
      </c>
      <c r="D19" s="6" t="str">
        <f>IF(C19="-","-",(IF($D18="Ene","Feb",IF($D18="Feb","Mar",IF($D18="Mar","Abr",IF($D18="Abr","May",IF($D18="May","Jun",IF($D18="Jun","Jul",IF($D18="Jul","Ago",IF($D18="Ago","Sep",IF($D18="Sep","Oct",IF($D18="Oct","Nov",IF($D18="Nov","Dic","Ene")))))))))))))</f>
        <v>Ago</v>
      </c>
      <c r="E19" s="7">
        <f>IF(C19="-","-",+IF($D18="Ene",E18,IF($D18="Feb",E18,IF($D18="Mar",E18,IF($D18="Abr",E18,IF($D18="May",E18,IF($D18="Jun",E18,IF($D18="Jul",E18,IF($D18="Ago",E18,IF($D18="Sep",E18,IF($D18="Oct",E18,IF($D18="Nov",E18,(E18+1)))))))))))))</f>
        <v>2026</v>
      </c>
      <c r="F19" s="265">
        <f>+(F18-J19)</f>
        <v>242530.0361220203</v>
      </c>
      <c r="G19" s="266"/>
      <c r="H19" s="266"/>
      <c r="I19" s="258"/>
      <c r="J19" s="271">
        <f>+($O$19-$L$19)</f>
        <v>237469.9638779797</v>
      </c>
      <c r="K19" s="268"/>
      <c r="L19" s="11">
        <f>+(F18*$F$7)</f>
        <v>10227.96583397593</v>
      </c>
      <c r="M19" s="11">
        <f>IF(J19&gt;0,((+$F$6*1.9)/1000),0)</f>
        <v>912</v>
      </c>
      <c r="N19" s="11">
        <f>IF(J19&gt;0,$P$10,0)</f>
        <v>56248.92</v>
      </c>
      <c r="O19" s="10">
        <f>+(-PMT($F$7,$F$8,$F$6,0,0))</f>
        <v>247697.92971195563</v>
      </c>
      <c r="P19" s="77">
        <f>O19+M19+N19</f>
        <v>304858.84971195564</v>
      </c>
      <c r="S19" s="22"/>
    </row>
    <row r="20" spans="1:20" ht="13.5" customHeight="1" x14ac:dyDescent="0.4">
      <c r="A20" s="42"/>
      <c r="B20" s="76">
        <f t="shared" si="0"/>
        <v>2</v>
      </c>
      <c r="C20" s="8">
        <f t="shared" si="1"/>
        <v>11</v>
      </c>
      <c r="D20" s="6" t="str">
        <f t="shared" ref="D20" si="2">IF(C20="-","-",(IF($D19="Ene","Feb",IF($D19="Feb","Mar",IF($D19="Mar","Abr",IF($D19="Abr","May",IF($D19="May","Jun",IF($D19="Jun","Jul",IF($D19="Jul","Ago",IF($D19="Ago","Sep",IF($D19="Sep","Oct",IF($D19="Oct","Nov",IF($D19="Nov","Dic","Ene")))))))))))))</f>
        <v>Sep</v>
      </c>
      <c r="E20" s="7">
        <f t="shared" ref="E20" si="3">IF(C20="-","-",+IF($D19="Ene",E19,IF($D19="Feb",E19,IF($D19="Mar",E19,IF($D19="Abr",E19,IF($D19="May",E19,IF($D19="Jun",E19,IF($D19="Jul",E19,IF($D19="Ago",E19,IF($D19="Sep",E19,IF($D19="Oct",E19,IF($D19="Nov",E19,(E19+1)))))))))))))</f>
        <v>2026</v>
      </c>
      <c r="F20" s="265">
        <f>IF(F8&lt;=1,0,+F19-J20)</f>
        <v>2.9103830456733704E-11</v>
      </c>
      <c r="G20" s="266"/>
      <c r="H20" s="266"/>
      <c r="I20" s="259"/>
      <c r="J20" s="267">
        <f>+IF(F8&lt;=1,0,($O$19-$L$20))</f>
        <v>242530.03612202028</v>
      </c>
      <c r="K20" s="268"/>
      <c r="L20" s="11">
        <f>+(F19*$F$7)</f>
        <v>5167.8935899353573</v>
      </c>
      <c r="M20" s="11">
        <f>IF(J20&gt;0,((+$F$6*1.9)/1000),0)</f>
        <v>912</v>
      </c>
      <c r="N20" s="11">
        <f>IF(J20&gt;0,$P$10,0)</f>
        <v>56248.92</v>
      </c>
      <c r="O20" s="10">
        <f>IF(F8=1,0,(-PMT($F$7,$F$8,$F$6,0,0)))</f>
        <v>247697.92971195563</v>
      </c>
      <c r="P20" s="77">
        <f>O20+M20+N20</f>
        <v>304858.84971195564</v>
      </c>
      <c r="Q20" s="43"/>
      <c r="S20" s="22"/>
    </row>
    <row r="21" spans="1:20" ht="13.5" customHeight="1" thickBot="1" x14ac:dyDescent="0.45">
      <c r="A21" s="32"/>
      <c r="B21" s="250"/>
      <c r="C21" s="251"/>
      <c r="D21" s="251"/>
      <c r="E21" s="251"/>
      <c r="F21" s="251"/>
      <c r="G21" s="251"/>
      <c r="H21" s="251"/>
      <c r="I21" s="96"/>
      <c r="J21" s="252">
        <f>+J20+J19</f>
        <v>480000</v>
      </c>
      <c r="K21" s="253"/>
      <c r="L21" s="78">
        <f>+L20+L19</f>
        <v>15395.859423911286</v>
      </c>
      <c r="M21" s="78">
        <f>+M20+M19</f>
        <v>1824</v>
      </c>
      <c r="N21" s="78">
        <f>+N20+N19</f>
        <v>112497.84</v>
      </c>
      <c r="O21" s="78">
        <f>+O20+O19</f>
        <v>495395.85942391126</v>
      </c>
      <c r="P21" s="90">
        <f>+P20+P19</f>
        <v>609717.69942391128</v>
      </c>
    </row>
    <row r="22" spans="1:20" hidden="1" x14ac:dyDescent="0.4">
      <c r="B22" s="23"/>
      <c r="C22" s="24"/>
      <c r="D22" s="24"/>
      <c r="E22" s="24"/>
      <c r="F22" s="24"/>
      <c r="G22" s="24"/>
      <c r="H22" s="24"/>
      <c r="I22" s="25"/>
      <c r="J22" s="25"/>
      <c r="K22" s="12"/>
      <c r="L22" s="12"/>
      <c r="M22" s="12"/>
      <c r="N22" s="12"/>
      <c r="O22" s="26"/>
    </row>
    <row r="23" spans="1:20" hidden="1" x14ac:dyDescent="0.4">
      <c r="B23" s="23"/>
      <c r="C23" s="24"/>
      <c r="D23" s="24"/>
      <c r="E23" s="24"/>
      <c r="F23" s="24"/>
      <c r="G23" s="24"/>
      <c r="H23" s="24"/>
      <c r="I23" s="25"/>
      <c r="J23" s="25"/>
      <c r="K23" s="12"/>
      <c r="L23" s="12"/>
      <c r="M23" s="12"/>
      <c r="N23" s="12"/>
      <c r="O23" s="26"/>
    </row>
    <row r="24" spans="1:20" hidden="1" x14ac:dyDescent="0.4">
      <c r="B24" s="23"/>
      <c r="C24" s="24"/>
      <c r="D24" s="24"/>
      <c r="E24" s="24"/>
      <c r="F24" s="24"/>
      <c r="G24" s="24"/>
      <c r="H24" s="24"/>
      <c r="I24" s="25"/>
      <c r="J24" s="25"/>
      <c r="K24" s="12"/>
      <c r="L24" s="12"/>
      <c r="M24" s="12"/>
      <c r="N24" s="12"/>
      <c r="O24" s="26"/>
    </row>
    <row r="25" spans="1:20" hidden="1" x14ac:dyDescent="0.4">
      <c r="B25" s="23"/>
      <c r="C25" s="24"/>
      <c r="D25" s="24"/>
      <c r="E25" s="24"/>
      <c r="F25" s="24"/>
      <c r="G25" s="24"/>
      <c r="H25" s="24"/>
      <c r="I25" s="25"/>
      <c r="J25" s="25"/>
      <c r="K25" s="12"/>
      <c r="L25" s="12"/>
      <c r="M25" s="12"/>
      <c r="N25" s="12"/>
      <c r="O25" s="26"/>
    </row>
    <row r="26" spans="1:20" hidden="1" x14ac:dyDescent="0.4">
      <c r="B26" s="23"/>
      <c r="C26" s="24"/>
      <c r="D26" s="24"/>
      <c r="E26" s="24"/>
      <c r="F26" s="24"/>
      <c r="G26" s="24"/>
      <c r="H26" s="24"/>
      <c r="I26" s="25"/>
      <c r="J26" s="25"/>
      <c r="K26" s="12"/>
      <c r="L26" s="12"/>
      <c r="M26" s="12"/>
      <c r="N26" s="12"/>
      <c r="O26" s="26"/>
    </row>
    <row r="27" spans="1:20" hidden="1" x14ac:dyDescent="0.4">
      <c r="B27" s="23"/>
      <c r="C27" s="24"/>
      <c r="D27" s="24"/>
      <c r="E27" s="24"/>
      <c r="F27" s="24"/>
      <c r="G27" s="24"/>
      <c r="H27" s="24"/>
      <c r="I27" s="25"/>
      <c r="J27" s="25"/>
      <c r="K27" s="12"/>
      <c r="L27" s="12"/>
      <c r="M27" s="12"/>
      <c r="N27" s="12"/>
      <c r="O27" s="26"/>
    </row>
    <row r="28" spans="1:20" hidden="1" x14ac:dyDescent="0.4">
      <c r="B28" s="23"/>
      <c r="C28" s="24"/>
      <c r="D28" s="24"/>
      <c r="E28" s="24"/>
      <c r="F28" s="24"/>
      <c r="G28" s="24"/>
      <c r="H28" s="24"/>
      <c r="I28" s="25"/>
      <c r="J28" s="25"/>
      <c r="K28" s="12"/>
      <c r="L28" s="12"/>
      <c r="M28" s="12"/>
      <c r="N28" s="12"/>
      <c r="O28" s="26"/>
    </row>
    <row r="29" spans="1:20" hidden="1" x14ac:dyDescent="0.4">
      <c r="B29" s="23"/>
      <c r="C29" s="24"/>
      <c r="D29" s="24"/>
      <c r="E29" s="24"/>
      <c r="F29" s="24"/>
      <c r="G29" s="24"/>
      <c r="H29" s="24"/>
      <c r="I29" s="25"/>
      <c r="J29" s="25"/>
      <c r="K29" s="12"/>
      <c r="L29" s="12"/>
      <c r="M29" s="12"/>
      <c r="N29" s="12"/>
      <c r="O29" s="26"/>
    </row>
    <row r="30" spans="1:20" hidden="1" x14ac:dyDescent="0.4">
      <c r="B30" s="23"/>
      <c r="C30" s="24"/>
      <c r="D30" s="24"/>
      <c r="E30" s="24"/>
      <c r="F30" s="24"/>
      <c r="G30" s="24"/>
      <c r="H30" s="24"/>
      <c r="I30" s="25"/>
      <c r="J30" s="25"/>
      <c r="K30" s="12"/>
      <c r="L30" s="12"/>
      <c r="M30" s="12"/>
      <c r="N30" s="12"/>
      <c r="O30" s="26"/>
    </row>
    <row r="31" spans="1:20" hidden="1" x14ac:dyDescent="0.4">
      <c r="B31" s="23"/>
      <c r="C31" s="24"/>
      <c r="D31" s="24"/>
      <c r="E31" s="24"/>
      <c r="F31" s="24"/>
      <c r="G31" s="24"/>
      <c r="H31" s="24"/>
      <c r="I31" s="25"/>
      <c r="J31" s="25"/>
      <c r="K31" s="12"/>
      <c r="L31" s="12"/>
      <c r="M31" s="12"/>
      <c r="N31" s="12"/>
      <c r="O31" s="26"/>
    </row>
    <row r="32" spans="1:20" hidden="1" x14ac:dyDescent="0.4">
      <c r="B32" s="23"/>
      <c r="C32" s="24"/>
      <c r="D32" s="24"/>
      <c r="E32" s="24"/>
      <c r="F32" s="24"/>
      <c r="G32" s="24"/>
      <c r="H32" s="24"/>
      <c r="I32" s="25"/>
      <c r="J32" s="25"/>
      <c r="K32" s="12"/>
      <c r="L32" s="12"/>
      <c r="M32" s="12"/>
      <c r="N32" s="12"/>
      <c r="O32" s="26"/>
    </row>
    <row r="33" spans="2:15" hidden="1" x14ac:dyDescent="0.4">
      <c r="B33" s="23"/>
      <c r="C33" s="24"/>
      <c r="D33" s="24"/>
      <c r="E33" s="24"/>
      <c r="F33" s="24"/>
      <c r="G33" s="24"/>
      <c r="H33" s="24"/>
      <c r="I33" s="25"/>
      <c r="J33" s="25"/>
      <c r="K33" s="12"/>
      <c r="L33" s="12"/>
      <c r="M33" s="12"/>
      <c r="N33" s="12"/>
      <c r="O33" s="26"/>
    </row>
    <row r="34" spans="2:15" hidden="1" x14ac:dyDescent="0.4">
      <c r="B34" s="23"/>
      <c r="C34" s="24"/>
      <c r="D34" s="24"/>
      <c r="E34" s="24"/>
      <c r="F34" s="24"/>
      <c r="G34" s="24"/>
      <c r="H34" s="24"/>
      <c r="I34" s="25"/>
      <c r="J34" s="25"/>
      <c r="K34" s="12"/>
      <c r="L34" s="12"/>
      <c r="M34" s="12"/>
      <c r="N34" s="12"/>
      <c r="O34" s="26"/>
    </row>
    <row r="35" spans="2:15" hidden="1" x14ac:dyDescent="0.4">
      <c r="B35" s="23"/>
      <c r="C35" s="24"/>
      <c r="D35" s="24"/>
      <c r="E35" s="24"/>
      <c r="F35" s="24"/>
      <c r="G35" s="24"/>
      <c r="H35" s="24"/>
      <c r="I35" s="25"/>
      <c r="J35" s="25"/>
      <c r="K35" s="12"/>
      <c r="L35" s="12"/>
      <c r="M35" s="12"/>
      <c r="N35" s="12"/>
      <c r="O35" s="26"/>
    </row>
    <row r="36" spans="2:15" hidden="1" x14ac:dyDescent="0.4">
      <c r="B36" s="23"/>
      <c r="C36" s="24"/>
      <c r="D36" s="24"/>
      <c r="E36" s="24"/>
      <c r="F36" s="24"/>
      <c r="G36" s="24"/>
      <c r="H36" s="24"/>
      <c r="I36" s="25"/>
      <c r="J36" s="25"/>
      <c r="K36" s="12"/>
      <c r="L36" s="12"/>
      <c r="M36" s="12"/>
      <c r="N36" s="12"/>
      <c r="O36" s="26"/>
    </row>
    <row r="37" spans="2:15" hidden="1" x14ac:dyDescent="0.4">
      <c r="B37" s="23"/>
      <c r="C37" s="24"/>
      <c r="D37" s="24"/>
      <c r="E37" s="24"/>
      <c r="F37" s="24"/>
      <c r="G37" s="24"/>
      <c r="H37" s="24"/>
      <c r="I37" s="25"/>
      <c r="J37" s="25"/>
      <c r="K37" s="12"/>
      <c r="L37" s="12"/>
      <c r="M37" s="12"/>
      <c r="N37" s="12"/>
      <c r="O37" s="26"/>
    </row>
    <row r="38" spans="2:15" hidden="1" x14ac:dyDescent="0.4">
      <c r="B38" s="23"/>
      <c r="C38" s="24"/>
      <c r="D38" s="24"/>
      <c r="E38" s="24"/>
      <c r="F38" s="24"/>
      <c r="G38" s="24"/>
      <c r="H38" s="24"/>
      <c r="I38" s="25"/>
      <c r="J38" s="25"/>
      <c r="K38" s="12"/>
      <c r="L38" s="12"/>
      <c r="M38" s="12"/>
      <c r="N38" s="12"/>
      <c r="O38" s="26"/>
    </row>
    <row r="39" spans="2:15" hidden="1" x14ac:dyDescent="0.4">
      <c r="B39" s="23"/>
      <c r="C39" s="24"/>
      <c r="D39" s="24"/>
      <c r="E39" s="24"/>
      <c r="F39" s="24"/>
      <c r="G39" s="24"/>
      <c r="H39" s="24"/>
      <c r="I39" s="25"/>
      <c r="J39" s="25"/>
      <c r="K39" s="12"/>
      <c r="L39" s="12"/>
      <c r="M39" s="12"/>
      <c r="N39" s="12"/>
      <c r="O39" s="26"/>
    </row>
    <row r="40" spans="2:15" hidden="1" x14ac:dyDescent="0.4">
      <c r="B40" s="23"/>
      <c r="C40" s="24"/>
      <c r="D40" s="24"/>
      <c r="E40" s="24"/>
      <c r="F40" s="24"/>
      <c r="G40" s="24"/>
      <c r="H40" s="24"/>
      <c r="I40" s="25"/>
      <c r="J40" s="25"/>
      <c r="K40" s="12"/>
      <c r="L40" s="12"/>
      <c r="M40" s="12"/>
      <c r="N40" s="12"/>
      <c r="O40" s="26"/>
    </row>
    <row r="41" spans="2:15" hidden="1" x14ac:dyDescent="0.4">
      <c r="B41" s="23"/>
      <c r="C41" s="24"/>
      <c r="D41" s="24"/>
      <c r="E41" s="24"/>
      <c r="F41" s="24"/>
      <c r="G41" s="24"/>
      <c r="H41" s="24"/>
      <c r="I41" s="25"/>
      <c r="J41" s="25"/>
      <c r="K41" s="12"/>
      <c r="L41" s="12"/>
      <c r="M41" s="12"/>
      <c r="N41" s="12"/>
      <c r="O41" s="26"/>
    </row>
    <row r="42" spans="2:15" hidden="1" x14ac:dyDescent="0.4">
      <c r="B42" s="23"/>
      <c r="C42" s="24"/>
      <c r="D42" s="24"/>
      <c r="E42" s="24"/>
      <c r="F42" s="24"/>
      <c r="G42" s="24"/>
      <c r="H42" s="24"/>
      <c r="I42" s="25"/>
      <c r="J42" s="25"/>
      <c r="K42" s="12"/>
      <c r="L42" s="12"/>
      <c r="M42" s="12"/>
      <c r="N42" s="12"/>
      <c r="O42" s="26"/>
    </row>
    <row r="43" spans="2:15" hidden="1" x14ac:dyDescent="0.4">
      <c r="B43" s="23"/>
      <c r="C43" s="24"/>
      <c r="D43" s="24"/>
      <c r="E43" s="24"/>
      <c r="F43" s="24"/>
      <c r="G43" s="24"/>
      <c r="H43" s="24"/>
      <c r="I43" s="25"/>
      <c r="J43" s="25"/>
      <c r="K43" s="12"/>
      <c r="L43" s="12"/>
      <c r="M43" s="12"/>
      <c r="N43" s="12"/>
      <c r="O43" s="26"/>
    </row>
    <row r="44" spans="2:15" hidden="1" x14ac:dyDescent="0.4">
      <c r="B44" s="23"/>
      <c r="C44" s="24"/>
      <c r="D44" s="24"/>
      <c r="E44" s="24"/>
      <c r="F44" s="24"/>
      <c r="G44" s="24"/>
      <c r="H44" s="24"/>
      <c r="I44" s="25"/>
      <c r="J44" s="25"/>
      <c r="K44" s="12"/>
      <c r="L44" s="12"/>
      <c r="M44" s="12"/>
      <c r="N44" s="12"/>
      <c r="O44" s="26"/>
    </row>
    <row r="45" spans="2:15" hidden="1" x14ac:dyDescent="0.4">
      <c r="B45" s="23"/>
      <c r="C45" s="24"/>
      <c r="D45" s="24"/>
      <c r="E45" s="24"/>
      <c r="F45" s="24"/>
      <c r="G45" s="24"/>
      <c r="H45" s="24"/>
      <c r="I45" s="25"/>
      <c r="J45" s="25"/>
      <c r="K45" s="12"/>
      <c r="L45" s="12"/>
      <c r="M45" s="12"/>
      <c r="N45" s="12"/>
      <c r="O45" s="26"/>
    </row>
    <row r="46" spans="2:15" hidden="1" x14ac:dyDescent="0.4">
      <c r="B46" s="23"/>
      <c r="C46" s="24"/>
      <c r="D46" s="24"/>
      <c r="E46" s="24"/>
      <c r="F46" s="24"/>
      <c r="G46" s="24"/>
      <c r="H46" s="24"/>
      <c r="I46" s="25"/>
      <c r="J46" s="25"/>
      <c r="K46" s="12"/>
      <c r="L46" s="12"/>
      <c r="M46" s="12"/>
      <c r="N46" s="12"/>
      <c r="O46" s="26"/>
    </row>
    <row r="47" spans="2:15" hidden="1" x14ac:dyDescent="0.4">
      <c r="B47" s="23"/>
      <c r="C47" s="24"/>
      <c r="D47" s="24"/>
      <c r="E47" s="24"/>
      <c r="F47" s="24"/>
      <c r="G47" s="24"/>
      <c r="H47" s="24"/>
      <c r="I47" s="25"/>
      <c r="J47" s="25"/>
      <c r="K47" s="12"/>
      <c r="L47" s="12"/>
      <c r="M47" s="12"/>
      <c r="N47" s="12"/>
      <c r="O47" s="26"/>
    </row>
    <row r="48" spans="2:15" hidden="1" x14ac:dyDescent="0.4">
      <c r="B48" s="23"/>
      <c r="C48" s="24"/>
      <c r="D48" s="24"/>
      <c r="E48" s="24"/>
      <c r="F48" s="24"/>
      <c r="G48" s="24"/>
      <c r="H48" s="24"/>
      <c r="I48" s="25"/>
      <c r="J48" s="25"/>
      <c r="K48" s="12"/>
      <c r="L48" s="12"/>
      <c r="M48" s="12"/>
      <c r="N48" s="12"/>
      <c r="O48" s="26"/>
    </row>
    <row r="49" spans="2:15" hidden="1" x14ac:dyDescent="0.4">
      <c r="B49" s="23"/>
      <c r="C49" s="24"/>
      <c r="D49" s="24"/>
      <c r="E49" s="24"/>
      <c r="F49" s="24"/>
      <c r="G49" s="24"/>
      <c r="H49" s="24"/>
      <c r="I49" s="25"/>
      <c r="J49" s="25"/>
      <c r="K49" s="12"/>
      <c r="L49" s="12"/>
      <c r="M49" s="12"/>
      <c r="N49" s="12"/>
      <c r="O49" s="26"/>
    </row>
    <row r="50" spans="2:15" hidden="1" x14ac:dyDescent="0.4">
      <c r="B50" s="23"/>
      <c r="C50" s="24"/>
      <c r="D50" s="24"/>
      <c r="E50" s="24"/>
      <c r="F50" s="24"/>
      <c r="G50" s="24"/>
      <c r="H50" s="24"/>
      <c r="I50" s="25"/>
      <c r="J50" s="25"/>
      <c r="K50" s="12"/>
      <c r="L50" s="12"/>
      <c r="M50" s="12"/>
      <c r="N50" s="12"/>
      <c r="O50" s="26"/>
    </row>
    <row r="51" spans="2:15" hidden="1" x14ac:dyDescent="0.4">
      <c r="B51" s="23"/>
      <c r="C51" s="24"/>
      <c r="D51" s="24"/>
      <c r="E51" s="24"/>
      <c r="F51" s="24"/>
      <c r="G51" s="24"/>
      <c r="H51" s="24"/>
      <c r="I51" s="25"/>
      <c r="J51" s="25"/>
      <c r="K51" s="12"/>
      <c r="L51" s="12"/>
      <c r="M51" s="12"/>
      <c r="N51" s="12"/>
      <c r="O51" s="26"/>
    </row>
    <row r="52" spans="2:15" hidden="1" x14ac:dyDescent="0.4">
      <c r="B52" s="23"/>
      <c r="C52" s="24"/>
      <c r="D52" s="24"/>
      <c r="E52" s="24"/>
      <c r="F52" s="24"/>
      <c r="G52" s="24"/>
      <c r="H52" s="24"/>
      <c r="I52" s="25"/>
      <c r="J52" s="25"/>
      <c r="K52" s="12"/>
      <c r="L52" s="12"/>
      <c r="M52" s="12"/>
      <c r="N52" s="12"/>
      <c r="O52" s="26"/>
    </row>
    <row r="53" spans="2:15" hidden="1" x14ac:dyDescent="0.4">
      <c r="B53" s="23"/>
      <c r="C53" s="24"/>
      <c r="D53" s="24"/>
      <c r="E53" s="24"/>
      <c r="F53" s="24"/>
      <c r="G53" s="24"/>
      <c r="H53" s="24"/>
      <c r="I53" s="25"/>
      <c r="J53" s="25"/>
      <c r="K53" s="12"/>
      <c r="L53" s="12"/>
      <c r="M53" s="12"/>
      <c r="N53" s="12"/>
      <c r="O53" s="26"/>
    </row>
    <row r="54" spans="2:15" hidden="1" x14ac:dyDescent="0.4">
      <c r="B54" s="23"/>
      <c r="C54" s="24"/>
      <c r="D54" s="24"/>
      <c r="E54" s="24"/>
      <c r="F54" s="24"/>
      <c r="G54" s="24"/>
      <c r="H54" s="24"/>
      <c r="I54" s="25"/>
      <c r="J54" s="25"/>
      <c r="K54" s="12"/>
      <c r="L54" s="12"/>
      <c r="M54" s="12"/>
      <c r="N54" s="12"/>
      <c r="O54" s="26"/>
    </row>
    <row r="55" spans="2:15" hidden="1" x14ac:dyDescent="0.4">
      <c r="B55" s="23"/>
      <c r="C55" s="24"/>
      <c r="D55" s="24"/>
      <c r="E55" s="24"/>
      <c r="F55" s="24"/>
      <c r="G55" s="24"/>
      <c r="H55" s="24"/>
      <c r="I55" s="25"/>
      <c r="J55" s="25"/>
      <c r="K55" s="12"/>
      <c r="L55" s="12"/>
      <c r="M55" s="12"/>
      <c r="N55" s="12"/>
      <c r="O55" s="26"/>
    </row>
    <row r="56" spans="2:15" hidden="1" x14ac:dyDescent="0.4">
      <c r="B56" s="23"/>
      <c r="C56" s="24"/>
      <c r="D56" s="24"/>
      <c r="E56" s="24"/>
      <c r="F56" s="24"/>
      <c r="G56" s="24"/>
      <c r="H56" s="24"/>
      <c r="I56" s="25"/>
      <c r="J56" s="25"/>
      <c r="K56" s="12"/>
      <c r="L56" s="12"/>
      <c r="M56" s="12"/>
      <c r="N56" s="12"/>
      <c r="O56" s="26"/>
    </row>
    <row r="57" spans="2:15" hidden="1" x14ac:dyDescent="0.4">
      <c r="B57" s="23"/>
      <c r="C57" s="24"/>
      <c r="D57" s="24"/>
      <c r="E57" s="24"/>
      <c r="F57" s="24"/>
      <c r="G57" s="24"/>
      <c r="H57" s="24"/>
      <c r="I57" s="25"/>
      <c r="J57" s="25"/>
      <c r="K57" s="12"/>
      <c r="L57" s="12"/>
      <c r="M57" s="12"/>
      <c r="N57" s="12"/>
      <c r="O57" s="26"/>
    </row>
    <row r="58" spans="2:15" hidden="1" x14ac:dyDescent="0.4">
      <c r="B58" s="23"/>
      <c r="C58" s="24"/>
      <c r="D58" s="24"/>
      <c r="E58" s="24"/>
      <c r="F58" s="24"/>
      <c r="G58" s="24"/>
      <c r="H58" s="24"/>
      <c r="I58" s="25"/>
      <c r="J58" s="25"/>
      <c r="K58" s="12"/>
      <c r="L58" s="12"/>
      <c r="M58" s="12"/>
      <c r="N58" s="12"/>
      <c r="O58" s="26"/>
    </row>
    <row r="59" spans="2:15" hidden="1" x14ac:dyDescent="0.4">
      <c r="B59" s="23"/>
      <c r="C59" s="24"/>
      <c r="D59" s="24"/>
      <c r="E59" s="24"/>
      <c r="F59" s="24"/>
      <c r="G59" s="24"/>
      <c r="H59" s="24"/>
      <c r="I59" s="25"/>
      <c r="J59" s="25"/>
      <c r="K59" s="12"/>
      <c r="L59" s="12"/>
      <c r="M59" s="12"/>
      <c r="N59" s="12"/>
      <c r="O59" s="26"/>
    </row>
    <row r="60" spans="2:15" hidden="1" x14ac:dyDescent="0.4">
      <c r="B60" s="23"/>
      <c r="C60" s="24"/>
      <c r="D60" s="24"/>
      <c r="E60" s="24"/>
      <c r="F60" s="24"/>
      <c r="G60" s="24"/>
      <c r="H60" s="24"/>
      <c r="I60" s="25"/>
      <c r="J60" s="25"/>
      <c r="K60" s="12"/>
      <c r="L60" s="12"/>
      <c r="M60" s="12"/>
      <c r="N60" s="12"/>
      <c r="O60" s="26"/>
    </row>
    <row r="61" spans="2:15" hidden="1" x14ac:dyDescent="0.4">
      <c r="B61" s="23"/>
      <c r="C61" s="24"/>
      <c r="D61" s="24"/>
      <c r="E61" s="24"/>
      <c r="F61" s="24"/>
      <c r="G61" s="24"/>
      <c r="H61" s="24"/>
      <c r="I61" s="25"/>
      <c r="J61" s="25"/>
      <c r="K61" s="12"/>
      <c r="L61" s="12"/>
      <c r="M61" s="12"/>
      <c r="N61" s="12"/>
      <c r="O61" s="26"/>
    </row>
    <row r="62" spans="2:15" hidden="1" x14ac:dyDescent="0.4">
      <c r="B62" s="23"/>
      <c r="C62" s="24"/>
      <c r="D62" s="24"/>
      <c r="E62" s="24"/>
      <c r="F62" s="24"/>
      <c r="G62" s="24"/>
      <c r="H62" s="24"/>
      <c r="I62" s="25"/>
      <c r="J62" s="25"/>
      <c r="K62" s="12"/>
      <c r="L62" s="12"/>
      <c r="M62" s="12"/>
      <c r="N62" s="12"/>
      <c r="O62" s="26"/>
    </row>
    <row r="63" spans="2:15" hidden="1" x14ac:dyDescent="0.4">
      <c r="B63" s="23"/>
      <c r="C63" s="24"/>
      <c r="D63" s="24"/>
      <c r="E63" s="24"/>
      <c r="F63" s="24"/>
      <c r="G63" s="24"/>
      <c r="H63" s="24"/>
      <c r="I63" s="25"/>
      <c r="J63" s="25"/>
      <c r="K63" s="12"/>
      <c r="L63" s="12"/>
      <c r="M63" s="12"/>
      <c r="N63" s="12"/>
      <c r="O63" s="26"/>
    </row>
    <row r="64" spans="2:15" hidden="1" x14ac:dyDescent="0.4">
      <c r="B64" s="23"/>
      <c r="C64" s="24"/>
      <c r="D64" s="24"/>
      <c r="E64" s="24"/>
      <c r="F64" s="24"/>
      <c r="G64" s="24"/>
      <c r="H64" s="24"/>
      <c r="I64" s="25"/>
      <c r="J64" s="25"/>
      <c r="K64" s="12"/>
      <c r="L64" s="12"/>
      <c r="M64" s="12"/>
      <c r="N64" s="12"/>
      <c r="O64" s="26"/>
    </row>
    <row r="65" spans="2:15" hidden="1" x14ac:dyDescent="0.4">
      <c r="B65" s="23"/>
      <c r="C65" s="24"/>
      <c r="D65" s="24"/>
      <c r="E65" s="24"/>
      <c r="F65" s="24"/>
      <c r="G65" s="24"/>
      <c r="H65" s="24"/>
      <c r="I65" s="25"/>
      <c r="J65" s="25"/>
      <c r="K65" s="12"/>
      <c r="L65" s="12"/>
      <c r="M65" s="12"/>
      <c r="N65" s="12"/>
      <c r="O65" s="26"/>
    </row>
    <row r="66" spans="2:15" x14ac:dyDescent="0.4"/>
    <row r="67" spans="2:15" x14ac:dyDescent="0.4"/>
    <row r="68" spans="2:15" x14ac:dyDescent="0.4"/>
    <row r="69" spans="2:15" x14ac:dyDescent="0.4"/>
    <row r="70" spans="2:15" x14ac:dyDescent="0.4"/>
    <row r="71" spans="2:15" x14ac:dyDescent="0.4"/>
    <row r="72" spans="2:15" x14ac:dyDescent="0.4"/>
    <row r="73" spans="2:15" x14ac:dyDescent="0.4"/>
    <row r="74" spans="2:15" x14ac:dyDescent="0.4"/>
    <row r="75" spans="2:15" x14ac:dyDescent="0.4"/>
    <row r="76" spans="2:15" x14ac:dyDescent="0.4"/>
    <row r="77" spans="2:15" x14ac:dyDescent="0.4"/>
    <row r="171" x14ac:dyDescent="0.4"/>
    <row r="172" x14ac:dyDescent="0.4"/>
    <row r="173" x14ac:dyDescent="0.4"/>
    <row r="174" x14ac:dyDescent="0.4"/>
    <row r="175" x14ac:dyDescent="0.4"/>
    <row r="176" x14ac:dyDescent="0.4"/>
    <row r="177" x14ac:dyDescent="0.4"/>
    <row r="178" x14ac:dyDescent="0.4"/>
    <row r="179" x14ac:dyDescent="0.4"/>
    <row r="180" x14ac:dyDescent="0.4"/>
    <row r="181" x14ac:dyDescent="0.4"/>
    <row r="182" x14ac:dyDescent="0.4"/>
    <row r="183" x14ac:dyDescent="0.4"/>
    <row r="184" x14ac:dyDescent="0.4"/>
    <row r="185" x14ac:dyDescent="0.4"/>
    <row r="186" x14ac:dyDescent="0.4"/>
    <row r="187" x14ac:dyDescent="0.4"/>
    <row r="188" x14ac:dyDescent="0.4"/>
    <row r="189" x14ac:dyDescent="0.4"/>
    <row r="190" x14ac:dyDescent="0.4"/>
    <row r="191" x14ac:dyDescent="0.4"/>
    <row r="192" x14ac:dyDescent="0.4"/>
    <row r="193" x14ac:dyDescent="0.4"/>
    <row r="194" x14ac:dyDescent="0.4"/>
    <row r="195" x14ac:dyDescent="0.4"/>
    <row r="196" x14ac:dyDescent="0.4"/>
    <row r="197" x14ac:dyDescent="0.4"/>
    <row r="198" x14ac:dyDescent="0.4"/>
    <row r="199" x14ac:dyDescent="0.4"/>
    <row r="200" x14ac:dyDescent="0.4"/>
    <row r="201" x14ac:dyDescent="0.4"/>
    <row r="202" x14ac:dyDescent="0.4"/>
    <row r="203" x14ac:dyDescent="0.4"/>
    <row r="204" x14ac:dyDescent="0.4"/>
    <row r="205" x14ac:dyDescent="0.4"/>
    <row r="206" x14ac:dyDescent="0.4"/>
    <row r="207" x14ac:dyDescent="0.4"/>
    <row r="208" x14ac:dyDescent="0.4"/>
    <row r="209" x14ac:dyDescent="0.4"/>
    <row r="210" x14ac:dyDescent="0.4"/>
    <row r="211" x14ac:dyDescent="0.4"/>
    <row r="212" x14ac:dyDescent="0.4"/>
    <row r="213" x14ac:dyDescent="0.4"/>
    <row r="214" x14ac:dyDescent="0.4"/>
  </sheetData>
  <sheetProtection algorithmName="SHA-512" hashValue="8QZVWUjkFxJ0wJzEWj6XyXk9Ow+kkOsXkP934aBQ1eU7Ed+sn8MofYZZ77J5gSsRoj877NcsOH8T+C8mA2pHsw==" saltValue="wsfcLSfOxzzI/FyXIo3Ywg==" spinCount="100000" sheet="1" objects="1" scenarios="1"/>
  <protectedRanges>
    <protectedRange sqref="I19:I20" name="Rango5"/>
    <protectedRange sqref="F8" name="Rango2"/>
    <protectedRange sqref="F9:H9" name="Rango3"/>
    <protectedRange sqref="J6" name="Rango4"/>
    <protectedRange sqref="F6" name="Rango1_1"/>
  </protectedRanges>
  <dataConsolidate function="varp"/>
  <mergeCells count="37">
    <mergeCell ref="B2:P2"/>
    <mergeCell ref="B3:P3"/>
    <mergeCell ref="I5:J5"/>
    <mergeCell ref="F8:H8"/>
    <mergeCell ref="B9:E9"/>
    <mergeCell ref="B4:H4"/>
    <mergeCell ref="B5:H5"/>
    <mergeCell ref="B6:E6"/>
    <mergeCell ref="F6:H6"/>
    <mergeCell ref="K6:K10"/>
    <mergeCell ref="B7:E7"/>
    <mergeCell ref="F7:H7"/>
    <mergeCell ref="B8:E8"/>
    <mergeCell ref="M5:N5"/>
    <mergeCell ref="M6:N6"/>
    <mergeCell ref="M7:N7"/>
    <mergeCell ref="M8:N8"/>
    <mergeCell ref="M9:N9"/>
    <mergeCell ref="M10:N10"/>
    <mergeCell ref="F20:H20"/>
    <mergeCell ref="J20:K20"/>
    <mergeCell ref="F18:H18"/>
    <mergeCell ref="J18:K18"/>
    <mergeCell ref="F19:H19"/>
    <mergeCell ref="J19:K19"/>
    <mergeCell ref="F17:H17"/>
    <mergeCell ref="J17:K17"/>
    <mergeCell ref="B13:K14"/>
    <mergeCell ref="B10:E10"/>
    <mergeCell ref="B21:H21"/>
    <mergeCell ref="J21:K21"/>
    <mergeCell ref="R18:S18"/>
    <mergeCell ref="N13:O13"/>
    <mergeCell ref="N14:O14"/>
    <mergeCell ref="L13:M14"/>
    <mergeCell ref="I18:I20"/>
    <mergeCell ref="C17:E17"/>
  </mergeCells>
  <conditionalFormatting sqref="A18:B18 A19 A20:D20">
    <cfRule type="cellIs" dxfId="9" priority="10" stopIfTrue="1" operator="equal">
      <formula>"Borrar"</formula>
    </cfRule>
  </conditionalFormatting>
  <conditionalFormatting sqref="B19:B20">
    <cfRule type="cellIs" dxfId="8" priority="1" stopIfTrue="1" operator="equal">
      <formula>"Borrar"</formula>
    </cfRule>
  </conditionalFormatting>
  <conditionalFormatting sqref="C18:D20">
    <cfRule type="cellIs" dxfId="7" priority="3" stopIfTrue="1" operator="equal">
      <formula>"Borrar"</formula>
    </cfRule>
  </conditionalFormatting>
  <conditionalFormatting sqref="E19:E20">
    <cfRule type="cellIs" dxfId="6" priority="2" stopIfTrue="1" operator="equal">
      <formula>"Borrar"</formula>
    </cfRule>
  </conditionalFormatting>
  <conditionalFormatting sqref="F18:F20">
    <cfRule type="cellIs" dxfId="5" priority="7" stopIfTrue="1" operator="equal">
      <formula>"Pago mayor"</formula>
    </cfRule>
  </conditionalFormatting>
  <conditionalFormatting sqref="F19:F20">
    <cfRule type="cellIs" dxfId="4" priority="8" stopIfTrue="1" operator="equal">
      <formula>"Cancelado"</formula>
    </cfRule>
  </conditionalFormatting>
  <dataValidations count="1">
    <dataValidation type="list" allowBlank="1" showInputMessage="1" showErrorMessage="1" sqref="P7" xr:uid="{00000000-0002-0000-0100-000000000000}">
      <formula1>Modalidad</formula1>
    </dataValidation>
  </dataValidations>
  <printOptions horizontalCentered="1"/>
  <pageMargins left="0.31496062992125984" right="0.31496062992125984" top="0.86614173228346458" bottom="0.55118110236220474" header="0.31496062992125984" footer="0.31496062992125984"/>
  <pageSetup scale="63" orientation="portrait" r:id="rId1"/>
  <headerFooter>
    <oddHeader>&amp;L&amp;G&amp;R
&amp;D</oddHeader>
    <oddFooter>&amp;R&amp;T</oddFooter>
  </headerFooter>
  <ignoredErrors>
    <ignoredError sqref="D18" formula="1"/>
  </ignoredErrors>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H68"/>
  <sheetViews>
    <sheetView view="pageBreakPreview" topLeftCell="A16" zoomScale="120" zoomScaleNormal="120" zoomScaleSheetLayoutView="120" workbookViewId="0">
      <selection activeCell="D21" sqref="D21"/>
    </sheetView>
  </sheetViews>
  <sheetFormatPr baseColWidth="10" defaultColWidth="10.86328125" defaultRowHeight="13.15" x14ac:dyDescent="0.4"/>
  <cols>
    <col min="1" max="1" width="5.265625" style="1" customWidth="1"/>
    <col min="2" max="2" width="10.86328125" style="1" bestFit="1" customWidth="1"/>
    <col min="3" max="3" width="40.265625" style="1" customWidth="1"/>
    <col min="4" max="4" width="28.3984375" style="1" customWidth="1"/>
    <col min="5" max="5" width="14.265625" style="1" bestFit="1" customWidth="1"/>
    <col min="6" max="6" width="5.265625" style="1" customWidth="1"/>
    <col min="7" max="16384" width="10.86328125" style="1"/>
  </cols>
  <sheetData>
    <row r="1" spans="2:5" x14ac:dyDescent="0.4">
      <c r="B1" s="307" t="s">
        <v>211</v>
      </c>
      <c r="C1" s="307"/>
      <c r="D1" s="307"/>
      <c r="E1" s="307"/>
    </row>
    <row r="2" spans="2:5" x14ac:dyDescent="0.4">
      <c r="B2" s="308" t="s">
        <v>210</v>
      </c>
      <c r="C2" s="308"/>
      <c r="D2" s="308"/>
      <c r="E2" s="308"/>
    </row>
    <row r="3" spans="2:5" ht="7.5" customHeight="1" x14ac:dyDescent="0.4"/>
    <row r="4" spans="2:5" ht="15" customHeight="1" x14ac:dyDescent="0.4">
      <c r="B4" s="109" t="s">
        <v>20</v>
      </c>
      <c r="C4" s="1" t="str" cm="1">
        <f t="array" ref="C4:D4">+'Plan de pagos'!M5:N5</f>
        <v xml:space="preserve"> BELTRAN GAITAN KATHERINE LORENA</v>
      </c>
      <c r="D4" s="110">
        <v>0</v>
      </c>
      <c r="E4" s="110"/>
    </row>
    <row r="5" spans="2:5" x14ac:dyDescent="0.4">
      <c r="B5" s="109" t="s">
        <v>62</v>
      </c>
      <c r="C5" s="111" cm="1">
        <f t="array" ref="C5:D5">+'Plan de pagos'!M6:N6</f>
        <v>1104701529</v>
      </c>
      <c r="D5" s="110">
        <v>0</v>
      </c>
      <c r="E5" s="110"/>
    </row>
    <row r="6" spans="2:5" ht="8.25" customHeight="1" x14ac:dyDescent="0.4">
      <c r="B6" s="112"/>
      <c r="C6" s="111"/>
      <c r="D6" s="110"/>
      <c r="E6" s="110"/>
    </row>
    <row r="7" spans="2:5" ht="14.45" customHeight="1" x14ac:dyDescent="0.4">
      <c r="B7" s="309" t="s">
        <v>63</v>
      </c>
      <c r="C7" s="310"/>
      <c r="D7" s="113" t="s">
        <v>64</v>
      </c>
      <c r="E7" s="114" t="s">
        <v>65</v>
      </c>
    </row>
    <row r="8" spans="2:5" ht="14.45" customHeight="1" x14ac:dyDescent="0.4">
      <c r="B8" s="115"/>
      <c r="C8" s="116" t="s">
        <v>66</v>
      </c>
      <c r="D8" s="117">
        <f>8000000+1500000</f>
        <v>9500000</v>
      </c>
      <c r="E8" s="118"/>
    </row>
    <row r="9" spans="2:5" x14ac:dyDescent="0.4">
      <c r="B9" s="115"/>
      <c r="C9" s="119" t="s">
        <v>67</v>
      </c>
      <c r="D9" s="117">
        <v>9437377</v>
      </c>
      <c r="E9" s="118"/>
    </row>
    <row r="10" spans="2:5" x14ac:dyDescent="0.4">
      <c r="B10" s="311" t="s">
        <v>68</v>
      </c>
      <c r="C10" s="116" t="s">
        <v>69</v>
      </c>
      <c r="D10" s="120">
        <f>+MIN(D8,D9)</f>
        <v>9437377</v>
      </c>
      <c r="E10" s="118">
        <f>+D10/D15</f>
        <v>1</v>
      </c>
    </row>
    <row r="11" spans="2:5" x14ac:dyDescent="0.4">
      <c r="B11" s="312"/>
      <c r="C11" s="121" t="s">
        <v>70</v>
      </c>
      <c r="D11" s="122">
        <v>0</v>
      </c>
      <c r="E11" s="123">
        <f>+D11/D15</f>
        <v>0</v>
      </c>
    </row>
    <row r="12" spans="2:5" x14ac:dyDescent="0.4">
      <c r="B12" s="312"/>
      <c r="C12" s="121" t="s">
        <v>71</v>
      </c>
      <c r="D12" s="122">
        <v>0</v>
      </c>
      <c r="E12" s="123">
        <f>+D12/D15</f>
        <v>0</v>
      </c>
    </row>
    <row r="13" spans="2:5" x14ac:dyDescent="0.4">
      <c r="B13" s="312"/>
      <c r="C13" s="121" t="s">
        <v>72</v>
      </c>
      <c r="D13" s="122">
        <v>0</v>
      </c>
      <c r="E13" s="124">
        <f>+D13/D15</f>
        <v>0</v>
      </c>
    </row>
    <row r="14" spans="2:5" x14ac:dyDescent="0.4">
      <c r="B14" s="312"/>
      <c r="C14" s="121" t="s">
        <v>73</v>
      </c>
      <c r="D14" s="122">
        <v>0</v>
      </c>
      <c r="E14" s="124">
        <f>+D14/D15</f>
        <v>0</v>
      </c>
    </row>
    <row r="15" spans="2:5" x14ac:dyDescent="0.4">
      <c r="B15" s="312"/>
      <c r="C15" s="121" t="s">
        <v>74</v>
      </c>
      <c r="D15" s="125">
        <f>SUM(D10:D14)</f>
        <v>9437377</v>
      </c>
      <c r="E15" s="126">
        <f>SUM(E10:E14)</f>
        <v>1</v>
      </c>
    </row>
    <row r="16" spans="2:5" x14ac:dyDescent="0.4">
      <c r="B16" s="312"/>
      <c r="C16" s="121" t="s">
        <v>75</v>
      </c>
      <c r="D16" s="125">
        <f>+D15*0.08</f>
        <v>754990.16</v>
      </c>
      <c r="E16" s="123">
        <f>+D16/D15</f>
        <v>0.08</v>
      </c>
    </row>
    <row r="17" spans="2:8" x14ac:dyDescent="0.4">
      <c r="B17" s="313"/>
      <c r="C17" s="127" t="s">
        <v>76</v>
      </c>
      <c r="D17" s="128">
        <f>D15-D16</f>
        <v>8682386.8399999999</v>
      </c>
      <c r="E17" s="129">
        <f>+D17/D15</f>
        <v>0.91999999999999993</v>
      </c>
    </row>
    <row r="18" spans="2:8" ht="5.25" customHeight="1" x14ac:dyDescent="0.4">
      <c r="D18" s="125"/>
    </row>
    <row r="19" spans="2:8" x14ac:dyDescent="0.4">
      <c r="B19" s="311" t="s">
        <v>77</v>
      </c>
      <c r="C19" s="116" t="s">
        <v>78</v>
      </c>
      <c r="D19" s="130">
        <f>+D17*35%</f>
        <v>3038835.3939999999</v>
      </c>
      <c r="E19" s="118">
        <f>+D19/D26</f>
        <v>0.13469516269810516</v>
      </c>
    </row>
    <row r="20" spans="2:8" x14ac:dyDescent="0.4">
      <c r="B20" s="312"/>
      <c r="C20" s="121" t="s">
        <v>79</v>
      </c>
      <c r="D20" s="131">
        <v>0</v>
      </c>
      <c r="E20" s="123">
        <f>+D20/D26</f>
        <v>0</v>
      </c>
    </row>
    <row r="21" spans="2:8" x14ac:dyDescent="0.4">
      <c r="B21" s="312"/>
      <c r="C21" s="121" t="s">
        <v>80</v>
      </c>
      <c r="D21" s="133"/>
      <c r="E21" s="123">
        <f>+D21/D26</f>
        <v>0</v>
      </c>
      <c r="F21" s="132"/>
      <c r="H21" s="125"/>
    </row>
    <row r="22" spans="2:8" x14ac:dyDescent="0.4">
      <c r="B22" s="312"/>
      <c r="C22" s="121" t="s">
        <v>81</v>
      </c>
      <c r="D22" s="133">
        <v>19522000</v>
      </c>
      <c r="E22" s="123">
        <f>+D22/D26</f>
        <v>0.86530483730189478</v>
      </c>
    </row>
    <row r="23" spans="2:8" x14ac:dyDescent="0.4">
      <c r="B23" s="312"/>
      <c r="C23" s="121" t="s">
        <v>82</v>
      </c>
      <c r="D23" s="131">
        <v>0</v>
      </c>
      <c r="E23" s="123">
        <f>+D23/D26</f>
        <v>0</v>
      </c>
    </row>
    <row r="24" spans="2:8" x14ac:dyDescent="0.4">
      <c r="B24" s="312"/>
      <c r="C24" s="121" t="s">
        <v>83</v>
      </c>
      <c r="D24" s="131">
        <v>0</v>
      </c>
      <c r="E24" s="123">
        <f>+D24/D26</f>
        <v>0</v>
      </c>
    </row>
    <row r="25" spans="2:8" x14ac:dyDescent="0.4">
      <c r="B25" s="312"/>
      <c r="C25" s="121" t="s">
        <v>84</v>
      </c>
      <c r="D25" s="131">
        <v>0</v>
      </c>
      <c r="E25" s="123">
        <f>+D25/D26</f>
        <v>0</v>
      </c>
    </row>
    <row r="26" spans="2:8" x14ac:dyDescent="0.4">
      <c r="B26" s="313"/>
      <c r="C26" s="127" t="s">
        <v>85</v>
      </c>
      <c r="D26" s="128">
        <f>SUM(D19:D25)</f>
        <v>22560835.394000001</v>
      </c>
      <c r="E26" s="129">
        <f>SUM(E19:E25)</f>
        <v>1</v>
      </c>
    </row>
    <row r="27" spans="2:8" ht="5.25" customHeight="1" x14ac:dyDescent="0.4"/>
    <row r="28" spans="2:8" hidden="1" x14ac:dyDescent="0.4">
      <c r="B28" s="309" t="s">
        <v>86</v>
      </c>
      <c r="C28" s="310"/>
      <c r="D28" s="113" t="s">
        <v>64</v>
      </c>
      <c r="E28" s="114" t="s">
        <v>65</v>
      </c>
    </row>
    <row r="29" spans="2:8" hidden="1" x14ac:dyDescent="0.4">
      <c r="B29" s="314" t="s">
        <v>87</v>
      </c>
      <c r="C29" s="116" t="s">
        <v>88</v>
      </c>
      <c r="D29" s="134">
        <v>0</v>
      </c>
      <c r="E29" s="118" t="e">
        <f>+D29/D34</f>
        <v>#DIV/0!</v>
      </c>
    </row>
    <row r="30" spans="2:8" hidden="1" x14ac:dyDescent="0.4">
      <c r="B30" s="315"/>
      <c r="C30" s="1" t="s">
        <v>89</v>
      </c>
      <c r="D30" s="135">
        <v>0</v>
      </c>
      <c r="E30" s="123" t="e">
        <f>+D30/D34</f>
        <v>#DIV/0!</v>
      </c>
    </row>
    <row r="31" spans="2:8" hidden="1" x14ac:dyDescent="0.4">
      <c r="B31" s="315"/>
      <c r="C31" s="1" t="s">
        <v>90</v>
      </c>
      <c r="D31" s="135"/>
      <c r="E31" s="123" t="e">
        <f>+D31/D34</f>
        <v>#DIV/0!</v>
      </c>
    </row>
    <row r="32" spans="2:8" hidden="1" x14ac:dyDescent="0.4">
      <c r="B32" s="315"/>
      <c r="C32" s="1" t="s">
        <v>91</v>
      </c>
      <c r="D32" s="135">
        <v>0</v>
      </c>
      <c r="E32" s="123" t="e">
        <f>+D32/D34</f>
        <v>#DIV/0!</v>
      </c>
    </row>
    <row r="33" spans="2:7" hidden="1" x14ac:dyDescent="0.4">
      <c r="B33" s="315"/>
      <c r="C33" s="1" t="s">
        <v>92</v>
      </c>
      <c r="D33" s="135">
        <v>0</v>
      </c>
      <c r="E33" s="123" t="e">
        <f>+D33/D34</f>
        <v>#DIV/0!</v>
      </c>
    </row>
    <row r="34" spans="2:7" hidden="1" x14ac:dyDescent="0.4">
      <c r="B34" s="316"/>
      <c r="C34" s="136" t="s">
        <v>93</v>
      </c>
      <c r="D34" s="128">
        <f>SUM(D29:D33)</f>
        <v>0</v>
      </c>
      <c r="E34" s="129" t="e">
        <f>SUM(E29:E33)</f>
        <v>#DIV/0!</v>
      </c>
    </row>
    <row r="35" spans="2:7" hidden="1" x14ac:dyDescent="0.4">
      <c r="B35" s="314" t="s">
        <v>94</v>
      </c>
      <c r="C35" s="137" t="s">
        <v>95</v>
      </c>
      <c r="D35" s="134"/>
      <c r="E35" s="138" t="e">
        <f>+D35/D39</f>
        <v>#DIV/0!</v>
      </c>
    </row>
    <row r="36" spans="2:7" hidden="1" x14ac:dyDescent="0.4">
      <c r="B36" s="315"/>
      <c r="C36" s="1" t="s">
        <v>96</v>
      </c>
      <c r="D36" s="135">
        <v>0</v>
      </c>
      <c r="E36" s="123" t="e">
        <f>+D36/D39</f>
        <v>#DIV/0!</v>
      </c>
    </row>
    <row r="37" spans="2:7" hidden="1" x14ac:dyDescent="0.4">
      <c r="B37" s="315"/>
      <c r="C37" s="1" t="s">
        <v>97</v>
      </c>
      <c r="D37" s="135">
        <v>0</v>
      </c>
      <c r="E37" s="139" t="s">
        <v>98</v>
      </c>
    </row>
    <row r="38" spans="2:7" hidden="1" x14ac:dyDescent="0.4">
      <c r="B38" s="315"/>
      <c r="C38" s="1" t="s">
        <v>99</v>
      </c>
      <c r="D38" s="135">
        <v>0</v>
      </c>
      <c r="E38" s="123" t="e">
        <f>+D38/D39</f>
        <v>#DIV/0!</v>
      </c>
    </row>
    <row r="39" spans="2:7" hidden="1" x14ac:dyDescent="0.4">
      <c r="B39" s="316"/>
      <c r="C39" s="136" t="s">
        <v>100</v>
      </c>
      <c r="D39" s="128">
        <f>+D35+D36+D38</f>
        <v>0</v>
      </c>
      <c r="E39" s="140" t="e">
        <f>SUM(E35:E38)</f>
        <v>#DIV/0!</v>
      </c>
    </row>
    <row r="40" spans="2:7" ht="4.5" customHeight="1" x14ac:dyDescent="0.4">
      <c r="B40" s="141"/>
      <c r="C40" s="142"/>
      <c r="D40" s="143"/>
      <c r="E40" s="144"/>
    </row>
    <row r="41" spans="2:7" x14ac:dyDescent="0.4">
      <c r="B41" s="145" t="s">
        <v>101</v>
      </c>
      <c r="C41" s="146" t="s">
        <v>102</v>
      </c>
      <c r="D41" s="147"/>
      <c r="E41" s="148">
        <f>+D34-D39</f>
        <v>0</v>
      </c>
    </row>
    <row r="42" spans="2:7" s="150" customFormat="1" ht="3.6" customHeight="1" x14ac:dyDescent="0.4">
      <c r="B42" s="149"/>
      <c r="D42" s="151"/>
    </row>
    <row r="43" spans="2:7" ht="13.5" customHeight="1" x14ac:dyDescent="0.4">
      <c r="B43" s="317" t="s">
        <v>103</v>
      </c>
      <c r="C43" s="318"/>
      <c r="D43" s="318"/>
      <c r="E43" s="319"/>
    </row>
    <row r="44" spans="2:7" x14ac:dyDescent="0.4">
      <c r="B44" s="152"/>
      <c r="C44" s="153" t="s">
        <v>104</v>
      </c>
      <c r="D44" s="137"/>
      <c r="E44" s="154">
        <f>+'Plan de pagos'!P13</f>
        <v>600000</v>
      </c>
    </row>
    <row r="45" spans="2:7" x14ac:dyDescent="0.4">
      <c r="B45" s="155" t="s">
        <v>105</v>
      </c>
      <c r="C45" s="156" t="s">
        <v>106</v>
      </c>
      <c r="E45" s="157">
        <f>+'Plan de pagos'!P14</f>
        <v>450000</v>
      </c>
    </row>
    <row r="46" spans="2:7" x14ac:dyDescent="0.4">
      <c r="B46" s="155" t="s">
        <v>107</v>
      </c>
      <c r="C46" s="320" t="s">
        <v>108</v>
      </c>
      <c r="D46" s="321"/>
      <c r="E46" s="158" cm="1">
        <f t="array" ref="E46:G46">+'Plan de pagos'!F8:H8</f>
        <v>2</v>
      </c>
      <c r="F46" s="1">
        <v>0</v>
      </c>
      <c r="G46" s="1">
        <v>0</v>
      </c>
    </row>
    <row r="47" spans="2:7" x14ac:dyDescent="0.4">
      <c r="B47" s="155"/>
      <c r="C47" s="320" t="s">
        <v>109</v>
      </c>
      <c r="D47" s="321"/>
      <c r="E47" s="159">
        <f>+'Plan de pagos'!J6</f>
        <v>0.28789999999999999</v>
      </c>
    </row>
    <row r="48" spans="2:7" x14ac:dyDescent="0.4">
      <c r="B48" s="160"/>
      <c r="C48" s="305" t="s">
        <v>110</v>
      </c>
      <c r="D48" s="306"/>
      <c r="E48" s="161" cm="1">
        <f t="array" ref="E48:G48">+'Plan de pagos'!F7:H7</f>
        <v>2.130826215411652E-2</v>
      </c>
      <c r="F48" s="1">
        <v>0</v>
      </c>
      <c r="G48" s="1">
        <v>0</v>
      </c>
    </row>
    <row r="49" spans="2:5" x14ac:dyDescent="0.4">
      <c r="B49" s="155"/>
      <c r="C49" s="156" t="s">
        <v>111</v>
      </c>
      <c r="E49" s="162">
        <f>+D17-D26</f>
        <v>-13878448.554000001</v>
      </c>
    </row>
    <row r="50" spans="2:5" x14ac:dyDescent="0.4">
      <c r="B50" s="155"/>
      <c r="C50" s="156" t="s">
        <v>112</v>
      </c>
      <c r="E50" s="157">
        <f>+'Plan de pagos'!P19</f>
        <v>304858.84971195564</v>
      </c>
    </row>
    <row r="51" spans="2:5" x14ac:dyDescent="0.4">
      <c r="B51" s="155"/>
      <c r="C51" s="156" t="s">
        <v>113</v>
      </c>
      <c r="E51" s="157">
        <f>+E49-E50</f>
        <v>-14183307.403711958</v>
      </c>
    </row>
    <row r="52" spans="2:5" x14ac:dyDescent="0.4">
      <c r="B52" s="155"/>
      <c r="C52" s="156" t="s">
        <v>114</v>
      </c>
      <c r="E52" s="157">
        <f>+E51-E65</f>
        <v>-14877898.350911958</v>
      </c>
    </row>
    <row r="53" spans="2:5" x14ac:dyDescent="0.4">
      <c r="B53" s="155"/>
      <c r="C53" s="156" t="s">
        <v>115</v>
      </c>
      <c r="E53" s="163">
        <f>+E50/E49</f>
        <v>-2.1966349374411179E-2</v>
      </c>
    </row>
    <row r="54" spans="2:5" x14ac:dyDescent="0.4">
      <c r="B54" s="155"/>
      <c r="C54" s="156" t="s">
        <v>116</v>
      </c>
      <c r="E54" s="164">
        <v>0</v>
      </c>
    </row>
    <row r="55" spans="2:5" x14ac:dyDescent="0.4">
      <c r="B55" s="155"/>
      <c r="C55" s="156" t="s">
        <v>117</v>
      </c>
      <c r="E55" s="163">
        <f>(D22+D23+D24)/D17</f>
        <v>2.2484600559447085</v>
      </c>
    </row>
    <row r="56" spans="2:5" x14ac:dyDescent="0.4">
      <c r="B56" s="155" t="s">
        <v>118</v>
      </c>
      <c r="C56" s="156" t="s">
        <v>119</v>
      </c>
      <c r="E56" s="163">
        <f>E50/D17</f>
        <v>3.5112332049922305E-2</v>
      </c>
    </row>
    <row r="57" spans="2:5" x14ac:dyDescent="0.4">
      <c r="B57" s="155"/>
      <c r="C57" s="156" t="s">
        <v>120</v>
      </c>
      <c r="E57" s="163">
        <f>SUM(D22+D23+D24+E50)/D17</f>
        <v>2.2835723879946306</v>
      </c>
    </row>
    <row r="58" spans="2:5" x14ac:dyDescent="0.4">
      <c r="B58" s="155"/>
      <c r="C58" s="156" t="s">
        <v>121</v>
      </c>
      <c r="E58" s="163">
        <v>0</v>
      </c>
    </row>
    <row r="59" spans="2:5" x14ac:dyDescent="0.4">
      <c r="B59" s="155"/>
      <c r="C59" s="156" t="s">
        <v>122</v>
      </c>
      <c r="E59" s="163">
        <f>(D39+E45)/(D34+E45)</f>
        <v>1</v>
      </c>
    </row>
    <row r="60" spans="2:5" x14ac:dyDescent="0.4">
      <c r="B60" s="155"/>
      <c r="C60" s="156" t="s">
        <v>123</v>
      </c>
      <c r="E60" s="165">
        <f>+D39/D17</f>
        <v>0</v>
      </c>
    </row>
    <row r="61" spans="2:5" x14ac:dyDescent="0.4">
      <c r="B61" s="155"/>
      <c r="C61" s="156" t="s">
        <v>124</v>
      </c>
      <c r="E61" s="165">
        <f>(E45+D39)/D17</f>
        <v>5.1829065934592702E-2</v>
      </c>
    </row>
    <row r="62" spans="2:5" ht="15" customHeight="1" x14ac:dyDescent="0.4">
      <c r="B62" s="166"/>
      <c r="C62" s="153" t="s">
        <v>125</v>
      </c>
      <c r="D62" s="137"/>
      <c r="E62" s="154">
        <f>D17*0.3</f>
        <v>2604716.0519999997</v>
      </c>
    </row>
    <row r="63" spans="2:5" x14ac:dyDescent="0.4">
      <c r="B63" s="167" t="s">
        <v>126</v>
      </c>
      <c r="C63" s="156" t="s">
        <v>127</v>
      </c>
      <c r="E63" s="157">
        <f>+D17*0.1</f>
        <v>868238.68400000001</v>
      </c>
    </row>
    <row r="64" spans="2:5" x14ac:dyDescent="0.4">
      <c r="B64" s="167" t="s">
        <v>128</v>
      </c>
      <c r="C64" s="168" t="s">
        <v>129</v>
      </c>
      <c r="D64" s="169"/>
      <c r="E64" s="157">
        <f>D17*10</f>
        <v>86823868.400000006</v>
      </c>
    </row>
    <row r="65" spans="2:5" x14ac:dyDescent="0.4">
      <c r="B65" s="170"/>
      <c r="C65" s="168" t="s">
        <v>130</v>
      </c>
      <c r="D65" s="169"/>
      <c r="E65" s="157">
        <f>+D17*0.08</f>
        <v>694590.94720000005</v>
      </c>
    </row>
    <row r="66" spans="2:5" x14ac:dyDescent="0.4">
      <c r="B66" s="155"/>
      <c r="C66" s="156" t="s">
        <v>131</v>
      </c>
      <c r="E66" s="171">
        <f>+E50/30%</f>
        <v>1016196.1657065188</v>
      </c>
    </row>
    <row r="67" spans="2:5" x14ac:dyDescent="0.4">
      <c r="B67" s="172"/>
      <c r="C67" s="173" t="s">
        <v>132</v>
      </c>
      <c r="D67" s="174"/>
      <c r="E67" s="175">
        <f>(D10+D11)*0.42</f>
        <v>3963698.34</v>
      </c>
    </row>
    <row r="68" spans="2:5" ht="5.25" customHeight="1" x14ac:dyDescent="0.4"/>
  </sheetData>
  <mergeCells count="12">
    <mergeCell ref="C48:D48"/>
    <mergeCell ref="B1:E1"/>
    <mergeCell ref="B2:E2"/>
    <mergeCell ref="B7:C7"/>
    <mergeCell ref="B10:B17"/>
    <mergeCell ref="B19:B26"/>
    <mergeCell ref="B28:C28"/>
    <mergeCell ref="B29:B34"/>
    <mergeCell ref="B35:B39"/>
    <mergeCell ref="B43:E43"/>
    <mergeCell ref="C46:D46"/>
    <mergeCell ref="C47:D47"/>
  </mergeCells>
  <printOptions horizontalCentered="1" verticalCentered="1"/>
  <pageMargins left="0.51181102362204722" right="0.51181102362204722" top="0.94488188976377963" bottom="0.55118110236220474" header="0.31496062992125984" footer="0.31496062992125984"/>
  <pageSetup scale="84" orientation="portrait" r:id="rId1"/>
  <headerFooter>
    <oddHeader>&amp;L&amp;G&amp;R
&amp;D</oddHeader>
    <oddFooter>&amp;R&amp;T</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34"/>
  <sheetViews>
    <sheetView showGridLines="0" tabSelected="1" view="pageBreakPreview" topLeftCell="A17" zoomScale="75" zoomScaleNormal="100" zoomScaleSheetLayoutView="75" workbookViewId="0">
      <selection activeCell="L31" sqref="L31"/>
    </sheetView>
  </sheetViews>
  <sheetFormatPr baseColWidth="10" defaultColWidth="10.86328125" defaultRowHeight="13.15" x14ac:dyDescent="0.4"/>
  <cols>
    <col min="1" max="1" width="2.73046875" style="1" customWidth="1"/>
    <col min="2" max="2" width="28.73046875" style="1" customWidth="1"/>
    <col min="3" max="3" width="21.265625" style="1" customWidth="1"/>
    <col min="4" max="4" width="15.3984375" style="1" customWidth="1"/>
    <col min="5" max="5" width="11" style="1" customWidth="1"/>
    <col min="6" max="6" width="10" style="1" customWidth="1"/>
    <col min="7" max="7" width="14.59765625" style="1" customWidth="1"/>
    <col min="8" max="8" width="2.73046875" style="1" customWidth="1"/>
    <col min="9" max="9" width="9.3984375" style="1" customWidth="1"/>
    <col min="10" max="16384" width="10.86328125" style="1"/>
  </cols>
  <sheetData>
    <row r="2" spans="2:8" ht="14.25" x14ac:dyDescent="0.45">
      <c r="B2" s="329" t="s">
        <v>133</v>
      </c>
      <c r="C2" s="329"/>
      <c r="D2" s="329"/>
      <c r="E2" s="329"/>
      <c r="F2" s="329"/>
      <c r="G2" s="329"/>
    </row>
    <row r="3" spans="2:8" ht="6" customHeight="1" x14ac:dyDescent="0.4">
      <c r="B3" s="110"/>
      <c r="C3" s="110"/>
      <c r="D3" s="110"/>
      <c r="E3" s="110"/>
    </row>
    <row r="4" spans="2:8" ht="15" customHeight="1" x14ac:dyDescent="0.4">
      <c r="B4" s="245" t="s">
        <v>264</v>
      </c>
      <c r="C4" s="133" t="s">
        <v>269</v>
      </c>
      <c r="D4" s="110"/>
      <c r="E4" s="110"/>
    </row>
    <row r="5" spans="2:8" ht="6" customHeight="1" x14ac:dyDescent="0.4">
      <c r="B5" s="110"/>
      <c r="C5" s="110"/>
      <c r="D5" s="110"/>
      <c r="E5" s="110"/>
    </row>
    <row r="6" spans="2:8" x14ac:dyDescent="0.4">
      <c r="B6" s="176" t="s">
        <v>20</v>
      </c>
      <c r="C6" s="177" t="str">
        <f>+'Flujo Empleado'!C4</f>
        <v xml:space="preserve"> BELTRAN GAITAN KATHERINE LORENA</v>
      </c>
      <c r="D6" s="178" t="s">
        <v>134</v>
      </c>
      <c r="E6" s="330" t="str">
        <f>+'Plan de pagos'!M8</f>
        <v>Eficacia</v>
      </c>
      <c r="F6" s="330"/>
      <c r="G6" s="331"/>
    </row>
    <row r="7" spans="2:8" x14ac:dyDescent="0.4">
      <c r="B7" s="179" t="s">
        <v>28</v>
      </c>
      <c r="C7" s="180">
        <f>+'Flujo Empleado'!C5</f>
        <v>1104701529</v>
      </c>
      <c r="D7" s="181" t="s">
        <v>135</v>
      </c>
      <c r="E7" s="330" t="str">
        <f>+'Plan de pagos'!M9</f>
        <v>Elite</v>
      </c>
      <c r="F7" s="330"/>
      <c r="G7" s="331"/>
    </row>
    <row r="8" spans="2:8" x14ac:dyDescent="0.4">
      <c r="B8" s="182" t="s">
        <v>19</v>
      </c>
      <c r="C8" s="183" t="str">
        <f>+'Plan de pagos'!M7</f>
        <v>Capital de trabajo</v>
      </c>
      <c r="D8" s="184" t="s">
        <v>136</v>
      </c>
      <c r="E8" s="330" t="str">
        <f>+'Plan de pagos'!M10</f>
        <v>Finamigo</v>
      </c>
      <c r="F8" s="330"/>
      <c r="G8" s="331"/>
    </row>
    <row r="9" spans="2:8" ht="7.15" customHeight="1" x14ac:dyDescent="0.4">
      <c r="B9" s="185"/>
      <c r="C9" s="185"/>
      <c r="D9" s="185"/>
    </row>
    <row r="10" spans="2:8" ht="14.25" x14ac:dyDescent="0.4">
      <c r="B10" s="332" t="s">
        <v>137</v>
      </c>
      <c r="C10" s="333"/>
      <c r="D10" s="333"/>
      <c r="E10" s="333"/>
      <c r="F10" s="333"/>
      <c r="G10" s="333"/>
    </row>
    <row r="11" spans="2:8" x14ac:dyDescent="0.4">
      <c r="B11" s="186" t="s">
        <v>138</v>
      </c>
      <c r="C11" s="187" t="s">
        <v>64</v>
      </c>
      <c r="D11" s="322" t="s">
        <v>139</v>
      </c>
      <c r="E11" s="323"/>
      <c r="F11" s="323"/>
      <c r="G11" s="324"/>
    </row>
    <row r="12" spans="2:8" ht="19.899999999999999" customHeight="1" x14ac:dyDescent="0.4">
      <c r="B12" s="188" t="s">
        <v>243</v>
      </c>
      <c r="C12" s="192">
        <v>0</v>
      </c>
      <c r="D12" s="328" t="str">
        <f>IF(C12=0,"No contesto",
IF(C12=1,"Riesgo más alto",
IF(C12=2,"Riesgo muy alto",
IF(C12=3,"Riesgo alto",
IF(C12=4,"Riesgo medio",
IF(C12=5,"Riesgo bajo",
IF(C12=6,"Riesgo muy bajo",
IF(C12=7,"Riesgo más bajo",
IF(C12=8,"No terminó","")))))))))</f>
        <v>No contesto</v>
      </c>
      <c r="E12" s="328"/>
      <c r="F12" s="328"/>
      <c r="G12" s="328"/>
    </row>
    <row r="13" spans="2:8" ht="19.899999999999999" customHeight="1" x14ac:dyDescent="0.4">
      <c r="B13" s="188" t="s">
        <v>140</v>
      </c>
      <c r="C13" s="189">
        <v>697</v>
      </c>
      <c r="D13" s="325" t="str">
        <f>+IF(C13&lt;500,"Rechazar",(IF(C13&lt;700,"Estudio",IF(C13&gt;=700,"Prestar",0))))</f>
        <v>Estudio</v>
      </c>
      <c r="E13" s="326"/>
      <c r="F13" s="326"/>
      <c r="G13" s="327"/>
    </row>
    <row r="14" spans="2:8" ht="19.899999999999999" customHeight="1" x14ac:dyDescent="0.45">
      <c r="B14" s="188" t="s">
        <v>141</v>
      </c>
      <c r="C14" s="190">
        <f>+'Flujo Empleado'!D10</f>
        <v>9437377</v>
      </c>
      <c r="D14" s="328" t="str">
        <f>+IF(C14&gt;=H14,"Prestar","Rechazado")</f>
        <v>Prestar</v>
      </c>
      <c r="E14" s="328"/>
      <c r="F14" s="328"/>
      <c r="G14" s="328"/>
      <c r="H14" s="191">
        <v>1000000</v>
      </c>
    </row>
    <row r="15" spans="2:8" ht="19.899999999999999" customHeight="1" x14ac:dyDescent="0.45">
      <c r="B15" s="188" t="s">
        <v>185</v>
      </c>
      <c r="C15" s="192">
        <f>+'Plan de pagos'!P19+'Flujo Empleado'!D26</f>
        <v>22865694.243711956</v>
      </c>
      <c r="D15" s="328" t="str">
        <f>+IF(C15&lt;=C14,"Prestar","Rechazado")</f>
        <v>Rechazado</v>
      </c>
      <c r="E15" s="328"/>
      <c r="F15" s="328"/>
      <c r="G15" s="328"/>
      <c r="H15" s="191"/>
    </row>
    <row r="16" spans="2:8" ht="19.899999999999999" customHeight="1" x14ac:dyDescent="0.45">
      <c r="B16" s="188" t="s">
        <v>142</v>
      </c>
      <c r="C16" s="192">
        <f>+C14-C15</f>
        <v>-13428317.243711956</v>
      </c>
      <c r="D16" s="325" t="str">
        <f>+IF(C16&lt;=0,"Rechazado","Prestar")</f>
        <v>Rechazado</v>
      </c>
      <c r="E16" s="326"/>
      <c r="F16" s="326"/>
      <c r="G16" s="327"/>
      <c r="H16" s="191"/>
    </row>
    <row r="17" spans="2:8" ht="19.899999999999999" customHeight="1" x14ac:dyDescent="0.45">
      <c r="B17" s="188" t="s">
        <v>155</v>
      </c>
      <c r="C17" s="193" t="s">
        <v>143</v>
      </c>
      <c r="D17" s="328" t="str">
        <f t="shared" ref="D17" si="0">+IF(C17="SI","Prestar","Rechazado")</f>
        <v>Prestar</v>
      </c>
      <c r="E17" s="328"/>
      <c r="F17" s="328"/>
      <c r="G17" s="328"/>
      <c r="H17" s="191"/>
    </row>
    <row r="18" spans="2:8" ht="9" customHeight="1" x14ac:dyDescent="0.45">
      <c r="B18" s="194"/>
      <c r="G18" s="195" t="s">
        <v>144</v>
      </c>
      <c r="H18" s="196" t="e">
        <f>IF(+MAX(#REF!)=0,"Rechazado", (+CONCATENATE(G18,+MAX(#REF!))))</f>
        <v>#REF!</v>
      </c>
    </row>
    <row r="19" spans="2:8" x14ac:dyDescent="0.4">
      <c r="B19" s="341"/>
      <c r="C19" s="341"/>
      <c r="D19" s="341"/>
      <c r="E19" s="341"/>
      <c r="F19" s="341"/>
      <c r="G19" s="341"/>
      <c r="H19" s="200" t="s">
        <v>143</v>
      </c>
    </row>
    <row r="20" spans="2:8" x14ac:dyDescent="0.4">
      <c r="B20" s="201" t="s">
        <v>138</v>
      </c>
      <c r="C20" s="187" t="s">
        <v>64</v>
      </c>
      <c r="D20" s="342" t="s">
        <v>145</v>
      </c>
      <c r="E20" s="342"/>
      <c r="F20" s="342"/>
      <c r="G20" s="342"/>
      <c r="H20" s="200" t="s">
        <v>146</v>
      </c>
    </row>
    <row r="21" spans="2:8" ht="36.950000000000003" customHeight="1" x14ac:dyDescent="0.4">
      <c r="B21" s="202" t="s">
        <v>147</v>
      </c>
      <c r="C21" s="192">
        <f>+'Plan de pagos'!P13</f>
        <v>600000</v>
      </c>
      <c r="D21" s="343" t="s">
        <v>270</v>
      </c>
      <c r="E21" s="343"/>
      <c r="F21" s="343"/>
      <c r="G21" s="343"/>
    </row>
    <row r="22" spans="2:8" ht="36.950000000000003" customHeight="1" x14ac:dyDescent="0.4">
      <c r="B22" s="202" t="s">
        <v>148</v>
      </c>
      <c r="C22" s="192">
        <f>+'Plan de pagos'!P14</f>
        <v>450000</v>
      </c>
      <c r="D22" s="343"/>
      <c r="E22" s="343"/>
      <c r="F22" s="343"/>
      <c r="G22" s="343"/>
    </row>
    <row r="23" spans="2:8" ht="36.950000000000003" customHeight="1" x14ac:dyDescent="0.4">
      <c r="B23" s="202" t="s">
        <v>149</v>
      </c>
      <c r="C23" s="192"/>
      <c r="D23" s="343"/>
      <c r="E23" s="343"/>
      <c r="F23" s="343"/>
      <c r="G23" s="343"/>
    </row>
    <row r="24" spans="2:8" ht="36.950000000000003" customHeight="1" x14ac:dyDescent="0.4">
      <c r="B24" s="202" t="s">
        <v>150</v>
      </c>
      <c r="C24" s="192"/>
      <c r="D24" s="343"/>
      <c r="E24" s="343"/>
      <c r="F24" s="343"/>
      <c r="G24" s="343"/>
    </row>
    <row r="25" spans="2:8" ht="36.950000000000003" customHeight="1" x14ac:dyDescent="0.4">
      <c r="B25" s="203" t="s">
        <v>151</v>
      </c>
      <c r="C25" s="204">
        <f>+C22-C23-C24</f>
        <v>450000</v>
      </c>
      <c r="D25" s="343"/>
      <c r="E25" s="343"/>
      <c r="F25" s="343"/>
      <c r="G25" s="343"/>
    </row>
    <row r="26" spans="2:8" s="150" customFormat="1" ht="5.45" customHeight="1" x14ac:dyDescent="0.4">
      <c r="B26" s="197"/>
      <c r="C26" s="197"/>
      <c r="D26" s="198"/>
      <c r="E26" s="199"/>
    </row>
    <row r="27" spans="2:8" x14ac:dyDescent="0.4">
      <c r="B27" s="334" t="s">
        <v>152</v>
      </c>
      <c r="C27" s="334"/>
      <c r="D27" s="334"/>
      <c r="E27" s="334"/>
      <c r="F27" s="334"/>
      <c r="G27" s="334"/>
    </row>
    <row r="28" spans="2:8" x14ac:dyDescent="0.4">
      <c r="B28" s="335" t="s">
        <v>271</v>
      </c>
      <c r="C28" s="336"/>
      <c r="D28" s="336"/>
      <c r="E28" s="336"/>
      <c r="F28" s="336"/>
      <c r="G28" s="337"/>
    </row>
    <row r="29" spans="2:8" x14ac:dyDescent="0.4">
      <c r="B29" s="205"/>
      <c r="C29" s="206"/>
      <c r="D29" s="206"/>
      <c r="E29" s="206"/>
      <c r="F29" s="206"/>
      <c r="G29" s="207"/>
    </row>
    <row r="30" spans="2:8" x14ac:dyDescent="0.4">
      <c r="B30" s="205"/>
      <c r="C30" s="206"/>
      <c r="D30" s="206"/>
      <c r="E30" s="206"/>
      <c r="F30" s="206"/>
      <c r="G30" s="207"/>
    </row>
    <row r="31" spans="2:8" x14ac:dyDescent="0.4">
      <c r="B31" s="205"/>
      <c r="C31" s="206"/>
      <c r="D31" s="206"/>
      <c r="E31" s="206"/>
      <c r="F31" s="206"/>
      <c r="G31" s="207"/>
    </row>
    <row r="32" spans="2:8" x14ac:dyDescent="0.4">
      <c r="B32" s="338"/>
      <c r="C32" s="339"/>
      <c r="D32" s="339"/>
      <c r="E32" s="339"/>
      <c r="F32" s="339"/>
      <c r="G32" s="340"/>
    </row>
    <row r="33" spans="2:7" x14ac:dyDescent="0.4">
      <c r="B33" s="338"/>
      <c r="C33" s="339"/>
      <c r="D33" s="339"/>
      <c r="E33" s="339"/>
      <c r="F33" s="339"/>
      <c r="G33" s="340"/>
    </row>
    <row r="34" spans="2:7" ht="15.75" customHeight="1" x14ac:dyDescent="0.4">
      <c r="B34" s="208"/>
      <c r="C34" s="209" t="s">
        <v>153</v>
      </c>
      <c r="D34" s="209"/>
      <c r="E34" s="209" t="s">
        <v>154</v>
      </c>
      <c r="F34" s="210"/>
      <c r="G34" s="211"/>
    </row>
  </sheetData>
  <mergeCells count="19">
    <mergeCell ref="B27:G27"/>
    <mergeCell ref="B28:G28"/>
    <mergeCell ref="B32:G32"/>
    <mergeCell ref="B33:G33"/>
    <mergeCell ref="B19:G19"/>
    <mergeCell ref="D20:G20"/>
    <mergeCell ref="D21:G25"/>
    <mergeCell ref="B2:G2"/>
    <mergeCell ref="E6:G6"/>
    <mergeCell ref="E7:G7"/>
    <mergeCell ref="E8:G8"/>
    <mergeCell ref="B10:G10"/>
    <mergeCell ref="D11:G11"/>
    <mergeCell ref="D13:G13"/>
    <mergeCell ref="D14:G14"/>
    <mergeCell ref="D15:G15"/>
    <mergeCell ref="D17:G17"/>
    <mergeCell ref="D16:G16"/>
    <mergeCell ref="D12:G12"/>
  </mergeCells>
  <conditionalFormatting sqref="D12:D17">
    <cfRule type="cellIs" dxfId="3" priority="4" operator="equal">
      <formula>"Prestar"</formula>
    </cfRule>
    <cfRule type="cellIs" dxfId="2" priority="5" operator="equal">
      <formula>"Rechazado"</formula>
    </cfRule>
  </conditionalFormatting>
  <conditionalFormatting sqref="D13">
    <cfRule type="cellIs" dxfId="1" priority="12" operator="equal">
      <formula>"Rechazar"</formula>
    </cfRule>
    <cfRule type="cellIs" dxfId="0" priority="13" operator="equal">
      <formula>"Solicitar monto menor"</formula>
    </cfRule>
  </conditionalFormatting>
  <conditionalFormatting sqref="D12:G12">
    <cfRule type="colorScale" priority="1">
      <colorScale>
        <cfvo type="min"/>
        <cfvo type="percentile" val="50"/>
        <cfvo type="max"/>
        <color rgb="FFF8696B"/>
        <color rgb="FFFFEB84"/>
        <color rgb="FF63BE7B"/>
      </colorScale>
    </cfRule>
  </conditionalFormatting>
  <dataValidations count="2">
    <dataValidation type="list" allowBlank="1" showInputMessage="1" showErrorMessage="1" sqref="C17" xr:uid="{00000000-0002-0000-0300-000000000000}">
      <formula1>$H$19:$H$20</formula1>
    </dataValidation>
    <dataValidation type="list" allowBlank="1" showInputMessage="1" showErrorMessage="1" sqref="C4" xr:uid="{C1206307-A17F-4D70-A1CE-C552931A1C7D}">
      <formula1>"Luna Muñoz, Angelica Barajas , Valeria Bohorquez, Dayana Garibello, Felipe Bohorquez, Fredy Pito, Jhon Enriquez"</formula1>
    </dataValidation>
  </dataValidations>
  <printOptions horizontalCentered="1" verticalCentered="1"/>
  <pageMargins left="0.51181102362204722" right="0.51181102362204722" top="0.94488188976377963" bottom="0.55118110236220474" header="0.31496062992125984" footer="0.31496062992125984"/>
  <pageSetup scale="75" orientation="portrait" r:id="rId1"/>
  <headerFooter>
    <oddHeader>&amp;L
&amp;G&amp;R
&amp;D</oddHeader>
    <oddFooter>&amp;R&amp;T</oddFoot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9004E1B1-790E-4A8A-AB24-17B6BE3686DC}">
          <x14:formula1>
            <xm:f>ListaDepegable!$C$1:$C$9</xm:f>
          </x14:formula1>
          <xm:sqref>C12</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E20"/>
  <sheetViews>
    <sheetView showGridLines="0" workbookViewId="0">
      <selection activeCell="C16" sqref="C16"/>
    </sheetView>
  </sheetViews>
  <sheetFormatPr baseColWidth="10" defaultRowHeight="14.25" x14ac:dyDescent="0.45"/>
  <cols>
    <col min="1" max="1" width="6" customWidth="1"/>
    <col min="2" max="2" width="13.59765625" style="220" customWidth="1"/>
    <col min="3" max="3" width="71" style="93" customWidth="1"/>
    <col min="4" max="4" width="2.73046875" customWidth="1"/>
    <col min="5" max="5" width="41.86328125" hidden="1" customWidth="1"/>
  </cols>
  <sheetData>
    <row r="1" spans="2:5" ht="14.25" customHeight="1" x14ac:dyDescent="0.45"/>
    <row r="2" spans="2:5" x14ac:dyDescent="0.45">
      <c r="B2" s="347" t="s">
        <v>160</v>
      </c>
      <c r="C2" s="348"/>
    </row>
    <row r="3" spans="2:5" x14ac:dyDescent="0.45">
      <c r="B3" s="221"/>
      <c r="C3" s="216"/>
    </row>
    <row r="4" spans="2:5" ht="99.75" x14ac:dyDescent="0.45">
      <c r="B4" s="222" t="s">
        <v>166</v>
      </c>
      <c r="C4" s="219" t="s">
        <v>183</v>
      </c>
    </row>
    <row r="5" spans="2:5" x14ac:dyDescent="0.45">
      <c r="B5" s="221"/>
      <c r="C5" s="216"/>
    </row>
    <row r="6" spans="2:5" ht="71.25" hidden="1" x14ac:dyDescent="0.45">
      <c r="B6" s="344" t="s">
        <v>167</v>
      </c>
      <c r="C6" s="215" t="s">
        <v>182</v>
      </c>
    </row>
    <row r="7" spans="2:5" hidden="1" x14ac:dyDescent="0.45">
      <c r="B7" s="345"/>
      <c r="C7" s="213" t="s">
        <v>158</v>
      </c>
    </row>
    <row r="8" spans="2:5" ht="42.75" hidden="1" x14ac:dyDescent="0.45">
      <c r="B8" s="346"/>
      <c r="C8" s="214" t="s">
        <v>159</v>
      </c>
    </row>
    <row r="9" spans="2:5" x14ac:dyDescent="0.45">
      <c r="B9" s="221"/>
      <c r="C9" s="218"/>
    </row>
    <row r="10" spans="2:5" x14ac:dyDescent="0.45">
      <c r="B10" s="344" t="s">
        <v>173</v>
      </c>
      <c r="C10" s="217" t="s">
        <v>161</v>
      </c>
      <c r="E10" s="223" t="s">
        <v>163</v>
      </c>
    </row>
    <row r="11" spans="2:5" ht="85.5" x14ac:dyDescent="0.45">
      <c r="B11" s="345"/>
      <c r="C11" s="213" t="s">
        <v>165</v>
      </c>
      <c r="E11" s="224" t="s">
        <v>172</v>
      </c>
    </row>
    <row r="12" spans="2:5" x14ac:dyDescent="0.45">
      <c r="B12" s="346"/>
      <c r="C12" s="227" t="s">
        <v>162</v>
      </c>
    </row>
    <row r="13" spans="2:5" x14ac:dyDescent="0.45">
      <c r="B13" s="221"/>
      <c r="C13" s="216"/>
    </row>
    <row r="14" spans="2:5" ht="28.5" x14ac:dyDescent="0.45">
      <c r="B14" s="344" t="s">
        <v>168</v>
      </c>
      <c r="C14" s="215" t="s">
        <v>174</v>
      </c>
    </row>
    <row r="15" spans="2:5" x14ac:dyDescent="0.45">
      <c r="B15" s="345"/>
      <c r="C15" s="212"/>
    </row>
    <row r="16" spans="2:5" ht="57" x14ac:dyDescent="0.45">
      <c r="B16" s="345"/>
      <c r="C16" s="213" t="s">
        <v>176</v>
      </c>
      <c r="D16" s="225"/>
      <c r="E16" s="226" t="s">
        <v>170</v>
      </c>
    </row>
    <row r="17" spans="2:3" ht="47.25" customHeight="1" x14ac:dyDescent="0.45">
      <c r="B17" s="349" t="s">
        <v>186</v>
      </c>
      <c r="C17" s="350"/>
    </row>
    <row r="18" spans="2:3" ht="42.75" x14ac:dyDescent="0.45">
      <c r="B18" s="344" t="s">
        <v>169</v>
      </c>
      <c r="C18" s="215" t="s">
        <v>175</v>
      </c>
    </row>
    <row r="19" spans="2:3" x14ac:dyDescent="0.45">
      <c r="B19" s="345"/>
      <c r="C19" s="212" t="s">
        <v>184</v>
      </c>
    </row>
    <row r="20" spans="2:3" ht="28.5" x14ac:dyDescent="0.45">
      <c r="B20" s="345"/>
      <c r="C20" s="213" t="s">
        <v>164</v>
      </c>
    </row>
  </sheetData>
  <mergeCells count="6">
    <mergeCell ref="B6:B8"/>
    <mergeCell ref="B10:B12"/>
    <mergeCell ref="B14:B16"/>
    <mergeCell ref="B18:B20"/>
    <mergeCell ref="B2:C2"/>
    <mergeCell ref="B17:C17"/>
  </mergeCells>
  <hyperlinks>
    <hyperlink ref="C7" location="Preguntas_Reto!A1" display="Rta. Positiva: De acuerdo (realizar Preguntas reto)" xr:uid="{00000000-0004-0000-0400-000000000000}"/>
    <hyperlink ref="E16" r:id="rId1" xr:uid="{00000000-0004-0000-0400-000001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Q18"/>
  <sheetViews>
    <sheetView showGridLines="0" workbookViewId="0">
      <selection activeCell="J18" sqref="J18"/>
    </sheetView>
  </sheetViews>
  <sheetFormatPr baseColWidth="10" defaultRowHeight="14.25" x14ac:dyDescent="0.45"/>
  <cols>
    <col min="1" max="1" width="5" customWidth="1"/>
    <col min="4" max="4" width="11.3984375" customWidth="1"/>
    <col min="5" max="5" width="20.59765625" customWidth="1"/>
    <col min="10" max="10" width="21.86328125" customWidth="1"/>
  </cols>
  <sheetData>
    <row r="1" spans="2:17" ht="14.65" thickBot="1" x14ac:dyDescent="0.5">
      <c r="Q1" t="s">
        <v>143</v>
      </c>
    </row>
    <row r="2" spans="2:17" ht="14.65" thickBot="1" x14ac:dyDescent="0.5">
      <c r="B2" s="351" t="s">
        <v>57</v>
      </c>
      <c r="C2" s="352"/>
      <c r="D2" s="352"/>
      <c r="E2" s="352"/>
      <c r="F2" s="352"/>
      <c r="G2" s="352"/>
      <c r="H2" s="352"/>
      <c r="I2" s="352"/>
      <c r="J2" s="353"/>
      <c r="Q2" t="s">
        <v>146</v>
      </c>
    </row>
    <row r="3" spans="2:17" ht="62.25" customHeight="1" x14ac:dyDescent="0.45">
      <c r="B3" s="354" t="s">
        <v>58</v>
      </c>
      <c r="C3" s="354"/>
      <c r="D3" s="354"/>
      <c r="E3" s="354"/>
      <c r="F3" s="354"/>
      <c r="G3" s="354"/>
      <c r="H3" s="354"/>
      <c r="I3" s="354"/>
      <c r="J3" s="354"/>
    </row>
    <row r="4" spans="2:17" ht="46.5" customHeight="1" x14ac:dyDescent="0.45">
      <c r="B4" s="355" t="s">
        <v>171</v>
      </c>
      <c r="C4" s="355"/>
      <c r="D4" s="355"/>
      <c r="E4" s="355"/>
      <c r="G4" s="356" t="s">
        <v>180</v>
      </c>
      <c r="H4" s="356"/>
      <c r="I4" s="356"/>
      <c r="J4" s="356"/>
    </row>
    <row r="5" spans="2:17" ht="14.65" thickBot="1" x14ac:dyDescent="0.5">
      <c r="B5" s="358"/>
      <c r="C5" s="358"/>
      <c r="D5" s="358"/>
      <c r="E5" s="358"/>
      <c r="G5" s="358"/>
      <c r="H5" s="358"/>
      <c r="I5" s="358"/>
      <c r="J5" s="358"/>
    </row>
    <row r="7" spans="2:17" ht="66" customHeight="1" x14ac:dyDescent="0.45">
      <c r="B7" s="357" t="s">
        <v>177</v>
      </c>
      <c r="C7" s="357"/>
      <c r="D7" s="357"/>
      <c r="E7" s="357"/>
      <c r="G7" s="356" t="s">
        <v>181</v>
      </c>
      <c r="H7" s="356"/>
      <c r="I7" s="356"/>
      <c r="J7" s="356"/>
    </row>
    <row r="8" spans="2:17" ht="14.65" thickBot="1" x14ac:dyDescent="0.5">
      <c r="B8" s="358"/>
      <c r="C8" s="358"/>
      <c r="D8" s="358"/>
      <c r="E8" s="358"/>
      <c r="G8" s="358"/>
      <c r="H8" s="358"/>
      <c r="I8" s="358"/>
      <c r="J8" s="358"/>
    </row>
    <row r="10" spans="2:17" ht="15" customHeight="1" x14ac:dyDescent="0.45">
      <c r="B10" s="357" t="s">
        <v>178</v>
      </c>
      <c r="C10" s="357"/>
      <c r="D10" s="357"/>
      <c r="E10" s="357"/>
      <c r="G10" s="356" t="s">
        <v>156</v>
      </c>
      <c r="H10" s="356"/>
      <c r="I10" s="356"/>
      <c r="J10" s="356"/>
    </row>
    <row r="11" spans="2:17" ht="27.75" customHeight="1" x14ac:dyDescent="0.45">
      <c r="B11" s="357"/>
      <c r="C11" s="357"/>
      <c r="D11" s="357"/>
      <c r="E11" s="357"/>
      <c r="G11" s="356"/>
      <c r="H11" s="356"/>
      <c r="I11" s="356"/>
      <c r="J11" s="356"/>
    </row>
    <row r="12" spans="2:17" ht="14.65" thickBot="1" x14ac:dyDescent="0.5">
      <c r="B12" s="358"/>
      <c r="C12" s="358"/>
      <c r="D12" s="358"/>
      <c r="E12" s="358"/>
      <c r="G12" s="358"/>
      <c r="H12" s="358"/>
      <c r="I12" s="358"/>
      <c r="J12" s="358"/>
    </row>
    <row r="14" spans="2:17" ht="45.75" customHeight="1" x14ac:dyDescent="0.45">
      <c r="B14" s="356" t="s">
        <v>179</v>
      </c>
      <c r="C14" s="356"/>
      <c r="D14" s="356"/>
      <c r="E14" s="356"/>
      <c r="G14" s="357"/>
      <c r="H14" s="357"/>
      <c r="I14" s="357"/>
      <c r="J14" s="357"/>
    </row>
    <row r="15" spans="2:17" ht="20.25" customHeight="1" x14ac:dyDescent="0.45">
      <c r="B15" s="356"/>
      <c r="C15" s="356"/>
      <c r="D15" s="356"/>
      <c r="E15" s="356"/>
      <c r="G15" s="357"/>
      <c r="H15" s="357"/>
      <c r="I15" s="357"/>
      <c r="J15" s="357"/>
    </row>
    <row r="16" spans="2:17" ht="14.65" thickBot="1" x14ac:dyDescent="0.5">
      <c r="B16" s="358"/>
      <c r="C16" s="358"/>
      <c r="D16" s="358"/>
      <c r="E16" s="358"/>
    </row>
    <row r="18" ht="46.5" customHeight="1" x14ac:dyDescent="0.45"/>
  </sheetData>
  <mergeCells count="17">
    <mergeCell ref="B16:E16"/>
    <mergeCell ref="G8:J8"/>
    <mergeCell ref="G5:J5"/>
    <mergeCell ref="B14:E15"/>
    <mergeCell ref="G4:J4"/>
    <mergeCell ref="B7:E7"/>
    <mergeCell ref="G10:J11"/>
    <mergeCell ref="B5:E5"/>
    <mergeCell ref="B8:E8"/>
    <mergeCell ref="B12:E12"/>
    <mergeCell ref="G14:J15"/>
    <mergeCell ref="G12:J12"/>
    <mergeCell ref="B2:J2"/>
    <mergeCell ref="B3:J3"/>
    <mergeCell ref="B4:E4"/>
    <mergeCell ref="G7:J7"/>
    <mergeCell ref="B10:E11"/>
  </mergeCells>
  <dataValidations count="1">
    <dataValidation type="list" allowBlank="1" showInputMessage="1" showErrorMessage="1" sqref="B8:E8 B12:E12 B16:E16 G12:J12 G8:J8 G5:J5" xr:uid="{00000000-0002-0000-0500-000000000000}">
      <formula1>$Q$1:$Q$3</formula1>
    </dataValidation>
  </dataValidation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P49"/>
  <sheetViews>
    <sheetView showGridLines="0" workbookViewId="0">
      <selection activeCell="N10" sqref="N10"/>
    </sheetView>
  </sheetViews>
  <sheetFormatPr baseColWidth="10" defaultRowHeight="14.25" x14ac:dyDescent="0.45"/>
  <cols>
    <col min="1" max="1" width="3.86328125" customWidth="1"/>
    <col min="2" max="2" width="12.59765625" customWidth="1"/>
    <col min="4" max="4" width="9.73046875" customWidth="1"/>
    <col min="5" max="5" width="13.1328125" customWidth="1"/>
    <col min="7" max="7" width="14.1328125" customWidth="1"/>
    <col min="16" max="16" width="0" hidden="1" customWidth="1"/>
  </cols>
  <sheetData>
    <row r="2" spans="2:10" x14ac:dyDescent="0.45">
      <c r="B2" s="94" t="s">
        <v>187</v>
      </c>
    </row>
    <row r="3" spans="2:10" x14ac:dyDescent="0.45">
      <c r="B3" s="94"/>
    </row>
    <row r="4" spans="2:10" x14ac:dyDescent="0.45">
      <c r="B4" s="229" t="s">
        <v>209</v>
      </c>
      <c r="C4" s="359"/>
      <c r="D4" s="359"/>
    </row>
    <row r="5" spans="2:10" x14ac:dyDescent="0.45">
      <c r="B5" s="229"/>
    </row>
    <row r="6" spans="2:10" x14ac:dyDescent="0.45">
      <c r="B6" s="232" t="s">
        <v>208</v>
      </c>
      <c r="D6" s="362"/>
      <c r="E6" s="362"/>
      <c r="F6" s="362"/>
      <c r="G6" s="362"/>
      <c r="H6" s="362"/>
      <c r="I6" s="362"/>
      <c r="J6" s="362"/>
    </row>
    <row r="7" spans="2:10" x14ac:dyDescent="0.45">
      <c r="B7" s="232"/>
      <c r="D7" s="362"/>
      <c r="E7" s="362"/>
      <c r="F7" s="362"/>
      <c r="G7" s="362"/>
      <c r="H7" s="362"/>
      <c r="I7" s="362"/>
      <c r="J7" s="362"/>
    </row>
    <row r="8" spans="2:10" x14ac:dyDescent="0.45">
      <c r="B8" s="232"/>
    </row>
    <row r="9" spans="2:10" x14ac:dyDescent="0.45">
      <c r="B9" s="233" t="s">
        <v>205</v>
      </c>
    </row>
    <row r="11" spans="2:10" x14ac:dyDescent="0.45">
      <c r="B11" s="229" t="s">
        <v>206</v>
      </c>
      <c r="C11" s="359"/>
      <c r="D11" s="359"/>
      <c r="E11" s="229" t="s">
        <v>190</v>
      </c>
      <c r="F11" s="359"/>
      <c r="G11" s="359"/>
    </row>
    <row r="13" spans="2:10" x14ac:dyDescent="0.45">
      <c r="B13" s="229" t="s">
        <v>32</v>
      </c>
      <c r="C13" s="359"/>
      <c r="D13" s="359"/>
      <c r="E13" s="229" t="s">
        <v>207</v>
      </c>
      <c r="F13" s="359"/>
      <c r="G13" s="359"/>
      <c r="H13" s="359"/>
      <c r="I13" s="359"/>
      <c r="J13" s="359"/>
    </row>
    <row r="15" spans="2:10" x14ac:dyDescent="0.45">
      <c r="B15" s="94" t="s">
        <v>199</v>
      </c>
    </row>
    <row r="17" spans="1:16" x14ac:dyDescent="0.45">
      <c r="B17" s="228" t="s">
        <v>189</v>
      </c>
      <c r="C17" s="359"/>
      <c r="D17" s="359"/>
      <c r="E17" s="229" t="s">
        <v>190</v>
      </c>
      <c r="F17" s="359"/>
      <c r="G17" s="359"/>
    </row>
    <row r="18" spans="1:16" x14ac:dyDescent="0.45">
      <c r="P18" s="228" t="s">
        <v>203</v>
      </c>
    </row>
    <row r="19" spans="1:16" x14ac:dyDescent="0.45">
      <c r="B19" s="228" t="s">
        <v>191</v>
      </c>
      <c r="C19" s="359"/>
      <c r="D19" s="359"/>
      <c r="P19" s="229" t="s">
        <v>196</v>
      </c>
    </row>
    <row r="20" spans="1:16" x14ac:dyDescent="0.45">
      <c r="P20" s="229" t="s">
        <v>197</v>
      </c>
    </row>
    <row r="21" spans="1:16" x14ac:dyDescent="0.45">
      <c r="B21" s="360" t="s">
        <v>192</v>
      </c>
      <c r="C21" s="360"/>
      <c r="D21" s="360"/>
      <c r="E21" s="359"/>
      <c r="F21" s="359"/>
      <c r="P21" s="229"/>
    </row>
    <row r="22" spans="1:16" x14ac:dyDescent="0.45">
      <c r="A22" s="361" t="s">
        <v>193</v>
      </c>
      <c r="B22" s="361"/>
      <c r="C22" s="361"/>
    </row>
    <row r="23" spans="1:16" x14ac:dyDescent="0.45">
      <c r="A23" s="361"/>
      <c r="B23" s="361"/>
      <c r="C23" s="361"/>
      <c r="D23" s="359"/>
      <c r="E23" s="359"/>
      <c r="F23" s="361" t="s">
        <v>194</v>
      </c>
      <c r="G23" s="361"/>
      <c r="H23" s="359"/>
      <c r="I23" s="359"/>
    </row>
    <row r="25" spans="1:16" x14ac:dyDescent="0.45">
      <c r="B25" s="361" t="s">
        <v>195</v>
      </c>
      <c r="C25" s="361"/>
      <c r="D25" s="359"/>
      <c r="E25" s="359"/>
      <c r="G25" s="228" t="s">
        <v>200</v>
      </c>
      <c r="H25" s="359"/>
      <c r="I25" s="359"/>
    </row>
    <row r="26" spans="1:16" x14ac:dyDescent="0.45">
      <c r="B26" s="229"/>
      <c r="C26" s="229"/>
      <c r="D26" s="231"/>
      <c r="E26" s="231"/>
    </row>
    <row r="27" spans="1:16" x14ac:dyDescent="0.45">
      <c r="B27" s="361" t="s">
        <v>201</v>
      </c>
      <c r="C27" s="361"/>
      <c r="D27" s="359"/>
      <c r="E27" s="359"/>
      <c r="G27" s="230" t="s">
        <v>202</v>
      </c>
      <c r="H27" s="359"/>
      <c r="I27" s="359"/>
    </row>
    <row r="29" spans="1:16" x14ac:dyDescent="0.45">
      <c r="B29" s="361" t="s">
        <v>204</v>
      </c>
      <c r="C29" s="361"/>
      <c r="D29" s="359"/>
      <c r="E29" s="359"/>
    </row>
    <row r="31" spans="1:16" x14ac:dyDescent="0.45">
      <c r="B31" s="361" t="s">
        <v>198</v>
      </c>
      <c r="C31" s="361"/>
      <c r="D31" s="361"/>
      <c r="E31" s="361"/>
      <c r="F31" s="359"/>
      <c r="G31" s="359"/>
      <c r="H31" s="359"/>
      <c r="I31" s="359"/>
      <c r="J31" s="359"/>
    </row>
    <row r="33" spans="1:9" x14ac:dyDescent="0.45">
      <c r="B33" s="94" t="s">
        <v>188</v>
      </c>
    </row>
    <row r="35" spans="1:9" x14ac:dyDescent="0.45">
      <c r="B35" s="228" t="s">
        <v>189</v>
      </c>
      <c r="C35" s="359"/>
      <c r="D35" s="359"/>
      <c r="E35" s="229" t="s">
        <v>190</v>
      </c>
      <c r="F35" s="359"/>
      <c r="G35" s="359"/>
    </row>
    <row r="37" spans="1:9" x14ac:dyDescent="0.45">
      <c r="B37" s="228" t="s">
        <v>191</v>
      </c>
      <c r="C37" s="359"/>
      <c r="D37" s="359"/>
    </row>
    <row r="39" spans="1:9" x14ac:dyDescent="0.45">
      <c r="B39" s="360" t="s">
        <v>192</v>
      </c>
      <c r="C39" s="360"/>
      <c r="D39" s="360"/>
      <c r="E39" s="359"/>
      <c r="F39" s="359"/>
    </row>
    <row r="40" spans="1:9" x14ac:dyDescent="0.45">
      <c r="A40" s="361" t="s">
        <v>193</v>
      </c>
      <c r="B40" s="361"/>
      <c r="C40" s="361"/>
    </row>
    <row r="41" spans="1:9" x14ac:dyDescent="0.45">
      <c r="A41" s="361"/>
      <c r="B41" s="361"/>
      <c r="C41" s="361"/>
      <c r="D41" s="359"/>
      <c r="E41" s="359"/>
      <c r="F41" s="361" t="s">
        <v>194</v>
      </c>
      <c r="G41" s="361"/>
      <c r="H41" s="359"/>
      <c r="I41" s="359"/>
    </row>
    <row r="43" spans="1:9" x14ac:dyDescent="0.45">
      <c r="B43" s="361" t="s">
        <v>195</v>
      </c>
      <c r="C43" s="361"/>
      <c r="D43" s="359"/>
      <c r="E43" s="359"/>
      <c r="G43" s="228" t="s">
        <v>200</v>
      </c>
      <c r="H43" s="359"/>
      <c r="I43" s="359"/>
    </row>
    <row r="44" spans="1:9" x14ac:dyDescent="0.45">
      <c r="B44" s="229"/>
      <c r="C44" s="229"/>
      <c r="D44" s="231"/>
      <c r="E44" s="231"/>
    </row>
    <row r="45" spans="1:9" x14ac:dyDescent="0.45">
      <c r="B45" s="361" t="s">
        <v>201</v>
      </c>
      <c r="C45" s="361"/>
      <c r="D45" s="359"/>
      <c r="E45" s="359"/>
      <c r="G45" s="230" t="s">
        <v>202</v>
      </c>
      <c r="H45" s="359"/>
      <c r="I45" s="359"/>
    </row>
    <row r="47" spans="1:9" x14ac:dyDescent="0.45">
      <c r="B47" s="361" t="s">
        <v>204</v>
      </c>
      <c r="C47" s="361"/>
      <c r="D47" s="359"/>
      <c r="E47" s="359"/>
    </row>
    <row r="49" spans="2:10" x14ac:dyDescent="0.45">
      <c r="B49" s="361" t="s">
        <v>198</v>
      </c>
      <c r="C49" s="361"/>
      <c r="D49" s="361"/>
      <c r="E49" s="361"/>
      <c r="F49" s="359"/>
      <c r="G49" s="359"/>
      <c r="H49" s="359"/>
      <c r="I49" s="359"/>
      <c r="J49" s="359"/>
    </row>
  </sheetData>
  <mergeCells count="44">
    <mergeCell ref="C4:D4"/>
    <mergeCell ref="F31:J31"/>
    <mergeCell ref="F49:J49"/>
    <mergeCell ref="C11:D11"/>
    <mergeCell ref="F11:G11"/>
    <mergeCell ref="C13:D13"/>
    <mergeCell ref="F13:J13"/>
    <mergeCell ref="D6:J7"/>
    <mergeCell ref="B47:C47"/>
    <mergeCell ref="D47:E47"/>
    <mergeCell ref="B49:E49"/>
    <mergeCell ref="B45:C45"/>
    <mergeCell ref="D45:E45"/>
    <mergeCell ref="H45:I45"/>
    <mergeCell ref="A40:C41"/>
    <mergeCell ref="D41:E41"/>
    <mergeCell ref="F41:G41"/>
    <mergeCell ref="H41:I41"/>
    <mergeCell ref="B43:C43"/>
    <mergeCell ref="D43:E43"/>
    <mergeCell ref="H43:I43"/>
    <mergeCell ref="C35:D35"/>
    <mergeCell ref="F35:G35"/>
    <mergeCell ref="C37:D37"/>
    <mergeCell ref="B39:D39"/>
    <mergeCell ref="E39:F39"/>
    <mergeCell ref="B31:E31"/>
    <mergeCell ref="B27:C27"/>
    <mergeCell ref="D27:E27"/>
    <mergeCell ref="B29:C29"/>
    <mergeCell ref="D29:E29"/>
    <mergeCell ref="H27:I27"/>
    <mergeCell ref="H23:I23"/>
    <mergeCell ref="F23:G23"/>
    <mergeCell ref="A22:C23"/>
    <mergeCell ref="D25:E25"/>
    <mergeCell ref="B25:C25"/>
    <mergeCell ref="H25:I25"/>
    <mergeCell ref="C17:D17"/>
    <mergeCell ref="F17:G17"/>
    <mergeCell ref="C19:D19"/>
    <mergeCell ref="E21:F21"/>
    <mergeCell ref="D23:E23"/>
    <mergeCell ref="B21:D21"/>
  </mergeCells>
  <dataValidations count="1">
    <dataValidation type="list" allowBlank="1" showInputMessage="1" showErrorMessage="1" sqref="D29:E29 D47:E47" xr:uid="{00000000-0002-0000-0600-000000000000}">
      <formula1>$P$18:$P$20</formula1>
    </dataValidation>
  </dataValidation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I58"/>
  <sheetViews>
    <sheetView showGridLines="0" workbookViewId="0">
      <selection activeCell="B5" sqref="B5"/>
    </sheetView>
  </sheetViews>
  <sheetFormatPr baseColWidth="10" defaultRowHeight="14.25" x14ac:dyDescent="0.45"/>
  <sheetData>
    <row r="1" spans="2:9" ht="14.65" thickBot="1" x14ac:dyDescent="0.5"/>
    <row r="2" spans="2:9" ht="14.65" thickBot="1" x14ac:dyDescent="0.5">
      <c r="B2" s="363" t="s">
        <v>59</v>
      </c>
      <c r="C2" s="364"/>
      <c r="D2" s="364"/>
      <c r="E2" s="364"/>
      <c r="F2" s="364"/>
      <c r="G2" s="364"/>
      <c r="H2" s="364"/>
      <c r="I2" s="365"/>
    </row>
    <row r="3" spans="2:9" x14ac:dyDescent="0.45">
      <c r="B3" s="102"/>
      <c r="C3" s="103"/>
      <c r="D3" s="103"/>
      <c r="E3" s="103"/>
      <c r="F3" s="103"/>
      <c r="G3" s="103"/>
      <c r="H3" s="103"/>
      <c r="I3" s="104"/>
    </row>
    <row r="4" spans="2:9" x14ac:dyDescent="0.45">
      <c r="B4" s="105" t="s">
        <v>157</v>
      </c>
      <c r="I4" s="106"/>
    </row>
    <row r="5" spans="2:9" x14ac:dyDescent="0.45">
      <c r="B5" s="105"/>
      <c r="I5" s="106"/>
    </row>
    <row r="6" spans="2:9" x14ac:dyDescent="0.45">
      <c r="B6" s="105"/>
      <c r="I6" s="106"/>
    </row>
    <row r="7" spans="2:9" x14ac:dyDescent="0.45">
      <c r="B7" s="105"/>
      <c r="I7" s="106"/>
    </row>
    <row r="8" spans="2:9" x14ac:dyDescent="0.45">
      <c r="B8" s="105"/>
      <c r="I8" s="106"/>
    </row>
    <row r="9" spans="2:9" x14ac:dyDescent="0.45">
      <c r="B9" s="105"/>
      <c r="I9" s="106"/>
    </row>
    <row r="10" spans="2:9" x14ac:dyDescent="0.45">
      <c r="B10" s="105"/>
      <c r="I10" s="106"/>
    </row>
    <row r="11" spans="2:9" x14ac:dyDescent="0.45">
      <c r="B11" s="105"/>
      <c r="I11" s="106"/>
    </row>
    <row r="12" spans="2:9" x14ac:dyDescent="0.45">
      <c r="B12" s="105"/>
      <c r="I12" s="106"/>
    </row>
    <row r="13" spans="2:9" x14ac:dyDescent="0.45">
      <c r="B13" s="105"/>
      <c r="I13" s="106"/>
    </row>
    <row r="14" spans="2:9" x14ac:dyDescent="0.45">
      <c r="B14" s="105"/>
      <c r="I14" s="106"/>
    </row>
    <row r="15" spans="2:9" x14ac:dyDescent="0.45">
      <c r="B15" s="105"/>
      <c r="I15" s="106"/>
    </row>
    <row r="16" spans="2:9" x14ac:dyDescent="0.45">
      <c r="B16" s="105"/>
      <c r="I16" s="106"/>
    </row>
    <row r="17" spans="2:9" x14ac:dyDescent="0.45">
      <c r="B17" s="105"/>
      <c r="I17" s="106"/>
    </row>
    <row r="18" spans="2:9" x14ac:dyDescent="0.45">
      <c r="B18" s="105"/>
      <c r="I18" s="106"/>
    </row>
    <row r="19" spans="2:9" x14ac:dyDescent="0.45">
      <c r="B19" s="105"/>
      <c r="I19" s="106"/>
    </row>
    <row r="20" spans="2:9" ht="14.65" thickBot="1" x14ac:dyDescent="0.5">
      <c r="B20" s="107"/>
      <c r="C20" s="101"/>
      <c r="D20" s="101"/>
      <c r="E20" s="101"/>
      <c r="F20" s="101"/>
      <c r="G20" s="101"/>
      <c r="H20" s="101"/>
      <c r="I20" s="108"/>
    </row>
    <row r="21" spans="2:9" ht="14.65" thickBot="1" x14ac:dyDescent="0.5">
      <c r="B21" s="363" t="s">
        <v>60</v>
      </c>
      <c r="C21" s="364"/>
      <c r="D21" s="364"/>
      <c r="E21" s="364"/>
      <c r="F21" s="364"/>
      <c r="G21" s="364"/>
      <c r="H21" s="364"/>
      <c r="I21" s="365"/>
    </row>
    <row r="22" spans="2:9" x14ac:dyDescent="0.45">
      <c r="B22" s="102"/>
      <c r="C22" s="103"/>
      <c r="D22" s="103"/>
      <c r="E22" s="103"/>
      <c r="F22" s="103"/>
      <c r="G22" s="103"/>
      <c r="H22" s="103"/>
      <c r="I22" s="104"/>
    </row>
    <row r="23" spans="2:9" x14ac:dyDescent="0.45">
      <c r="B23" s="105"/>
      <c r="I23" s="106"/>
    </row>
    <row r="24" spans="2:9" x14ac:dyDescent="0.45">
      <c r="B24" s="105"/>
      <c r="I24" s="106"/>
    </row>
    <row r="25" spans="2:9" x14ac:dyDescent="0.45">
      <c r="B25" s="105"/>
      <c r="I25" s="106"/>
    </row>
    <row r="26" spans="2:9" x14ac:dyDescent="0.45">
      <c r="B26" s="105"/>
      <c r="I26" s="106"/>
    </row>
    <row r="27" spans="2:9" x14ac:dyDescent="0.45">
      <c r="B27" s="105"/>
      <c r="I27" s="106"/>
    </row>
    <row r="28" spans="2:9" x14ac:dyDescent="0.45">
      <c r="B28" s="105"/>
      <c r="I28" s="106"/>
    </row>
    <row r="29" spans="2:9" x14ac:dyDescent="0.45">
      <c r="B29" s="105"/>
      <c r="I29" s="106"/>
    </row>
    <row r="30" spans="2:9" x14ac:dyDescent="0.45">
      <c r="B30" s="105"/>
      <c r="I30" s="106"/>
    </row>
    <row r="31" spans="2:9" x14ac:dyDescent="0.45">
      <c r="B31" s="105"/>
      <c r="I31" s="106"/>
    </row>
    <row r="32" spans="2:9" x14ac:dyDescent="0.45">
      <c r="B32" s="105"/>
      <c r="I32" s="106"/>
    </row>
    <row r="33" spans="2:9" x14ac:dyDescent="0.45">
      <c r="B33" s="105"/>
      <c r="I33" s="106"/>
    </row>
    <row r="34" spans="2:9" x14ac:dyDescent="0.45">
      <c r="B34" s="105"/>
      <c r="I34" s="106"/>
    </row>
    <row r="35" spans="2:9" x14ac:dyDescent="0.45">
      <c r="B35" s="105"/>
      <c r="I35" s="106"/>
    </row>
    <row r="36" spans="2:9" x14ac:dyDescent="0.45">
      <c r="B36" s="105"/>
      <c r="I36" s="106"/>
    </row>
    <row r="37" spans="2:9" x14ac:dyDescent="0.45">
      <c r="B37" s="105"/>
      <c r="I37" s="106"/>
    </row>
    <row r="38" spans="2:9" x14ac:dyDescent="0.45">
      <c r="B38" s="105"/>
      <c r="I38" s="106"/>
    </row>
    <row r="39" spans="2:9" ht="14.65" thickBot="1" x14ac:dyDescent="0.5">
      <c r="B39" s="107"/>
      <c r="C39" s="101"/>
      <c r="D39" s="101"/>
      <c r="E39" s="101"/>
      <c r="F39" s="101"/>
      <c r="G39" s="101"/>
      <c r="H39" s="101"/>
      <c r="I39" s="108"/>
    </row>
    <row r="40" spans="2:9" ht="14.65" thickBot="1" x14ac:dyDescent="0.5">
      <c r="B40" s="363" t="s">
        <v>61</v>
      </c>
      <c r="C40" s="364"/>
      <c r="D40" s="364"/>
      <c r="E40" s="364"/>
      <c r="F40" s="364"/>
      <c r="G40" s="364"/>
      <c r="H40" s="364"/>
      <c r="I40" s="365"/>
    </row>
    <row r="41" spans="2:9" x14ac:dyDescent="0.45">
      <c r="B41" s="105"/>
      <c r="I41" s="106"/>
    </row>
    <row r="42" spans="2:9" x14ac:dyDescent="0.45">
      <c r="B42" s="105"/>
      <c r="I42" s="106"/>
    </row>
    <row r="43" spans="2:9" x14ac:dyDescent="0.45">
      <c r="B43" s="105"/>
      <c r="I43" s="106"/>
    </row>
    <row r="44" spans="2:9" x14ac:dyDescent="0.45">
      <c r="B44" s="105"/>
      <c r="I44" s="106"/>
    </row>
    <row r="45" spans="2:9" x14ac:dyDescent="0.45">
      <c r="B45" s="105"/>
      <c r="I45" s="106"/>
    </row>
    <row r="46" spans="2:9" x14ac:dyDescent="0.45">
      <c r="B46" s="105"/>
      <c r="I46" s="106"/>
    </row>
    <row r="47" spans="2:9" x14ac:dyDescent="0.45">
      <c r="B47" s="105"/>
      <c r="I47" s="106"/>
    </row>
    <row r="48" spans="2:9" x14ac:dyDescent="0.45">
      <c r="B48" s="105"/>
      <c r="I48" s="106"/>
    </row>
    <row r="49" spans="2:9" x14ac:dyDescent="0.45">
      <c r="B49" s="105"/>
      <c r="I49" s="106"/>
    </row>
    <row r="50" spans="2:9" x14ac:dyDescent="0.45">
      <c r="B50" s="105"/>
      <c r="I50" s="106"/>
    </row>
    <row r="51" spans="2:9" x14ac:dyDescent="0.45">
      <c r="B51" s="105"/>
      <c r="I51" s="106"/>
    </row>
    <row r="52" spans="2:9" x14ac:dyDescent="0.45">
      <c r="B52" s="105"/>
      <c r="I52" s="106"/>
    </row>
    <row r="53" spans="2:9" x14ac:dyDescent="0.45">
      <c r="B53" s="105"/>
      <c r="I53" s="106"/>
    </row>
    <row r="54" spans="2:9" x14ac:dyDescent="0.45">
      <c r="B54" s="105"/>
      <c r="I54" s="106"/>
    </row>
    <row r="55" spans="2:9" x14ac:dyDescent="0.45">
      <c r="B55" s="105"/>
      <c r="I55" s="106"/>
    </row>
    <row r="56" spans="2:9" x14ac:dyDescent="0.45">
      <c r="B56" s="105"/>
      <c r="I56" s="106"/>
    </row>
    <row r="57" spans="2:9" x14ac:dyDescent="0.45">
      <c r="B57" s="105"/>
      <c r="I57" s="106"/>
    </row>
    <row r="58" spans="2:9" ht="14.65" thickBot="1" x14ac:dyDescent="0.5">
      <c r="B58" s="107"/>
      <c r="C58" s="101"/>
      <c r="D58" s="101"/>
      <c r="E58" s="101"/>
      <c r="F58" s="101"/>
      <c r="G58" s="101"/>
      <c r="H58" s="101"/>
      <c r="I58" s="108"/>
    </row>
  </sheetData>
  <mergeCells count="3">
    <mergeCell ref="B2:I2"/>
    <mergeCell ref="B21:I21"/>
    <mergeCell ref="B40:I4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21A91C-E1DC-4E52-BE31-BA1EC503093F}">
  <dimension ref="B1:D35"/>
  <sheetViews>
    <sheetView showGridLines="0" workbookViewId="0">
      <selection activeCell="B9" sqref="B9"/>
    </sheetView>
  </sheetViews>
  <sheetFormatPr baseColWidth="10" defaultRowHeight="14.25" x14ac:dyDescent="0.45"/>
  <cols>
    <col min="2" max="2" width="26.73046875" customWidth="1"/>
    <col min="3" max="3" width="58.59765625" customWidth="1"/>
  </cols>
  <sheetData>
    <row r="1" spans="2:4" ht="14.65" thickBot="1" x14ac:dyDescent="0.5"/>
    <row r="2" spans="2:4" ht="14.65" thickBot="1" x14ac:dyDescent="0.5">
      <c r="B2" s="102" t="s">
        <v>242</v>
      </c>
      <c r="C2" s="244"/>
    </row>
    <row r="3" spans="2:4" ht="14.65" thickBot="1" x14ac:dyDescent="0.5">
      <c r="B3" s="243"/>
      <c r="C3" s="240"/>
    </row>
    <row r="4" spans="2:4" ht="71.25" x14ac:dyDescent="0.45">
      <c r="B4" s="239" t="s">
        <v>241</v>
      </c>
      <c r="C4" s="238" t="s">
        <v>240</v>
      </c>
    </row>
    <row r="5" spans="2:4" x14ac:dyDescent="0.45">
      <c r="B5" s="236" t="s">
        <v>239</v>
      </c>
      <c r="C5" s="236"/>
    </row>
    <row r="6" spans="2:4" x14ac:dyDescent="0.45">
      <c r="B6" s="236" t="s">
        <v>238</v>
      </c>
      <c r="C6" s="366" t="s">
        <v>237</v>
      </c>
    </row>
    <row r="7" spans="2:4" ht="30" customHeight="1" x14ac:dyDescent="0.45">
      <c r="B7" s="236"/>
      <c r="C7" s="366"/>
    </row>
    <row r="8" spans="2:4" ht="32.65" customHeight="1" x14ac:dyDescent="0.45">
      <c r="B8" s="236"/>
      <c r="C8" s="237" t="s">
        <v>236</v>
      </c>
      <c r="D8" s="231"/>
    </row>
    <row r="9" spans="2:4" ht="81" customHeight="1" thickBot="1" x14ac:dyDescent="0.5">
      <c r="B9" s="236"/>
      <c r="C9" s="242" t="s">
        <v>235</v>
      </c>
    </row>
    <row r="10" spans="2:4" ht="14.65" hidden="1" thickBot="1" x14ac:dyDescent="0.5">
      <c r="B10" s="235"/>
      <c r="C10" s="235"/>
    </row>
    <row r="11" spans="2:4" ht="24" customHeight="1" thickBot="1" x14ac:dyDescent="0.5">
      <c r="B11" s="241"/>
      <c r="C11" s="240"/>
    </row>
    <row r="12" spans="2:4" x14ac:dyDescent="0.45">
      <c r="B12" s="239"/>
      <c r="C12" s="104" t="s">
        <v>234</v>
      </c>
    </row>
    <row r="13" spans="2:4" ht="14.65" thickBot="1" x14ac:dyDescent="0.5">
      <c r="B13" s="236"/>
      <c r="C13" s="108" t="s">
        <v>233</v>
      </c>
    </row>
    <row r="14" spans="2:4" x14ac:dyDescent="0.45">
      <c r="B14" s="236"/>
      <c r="C14" s="104" t="s">
        <v>232</v>
      </c>
    </row>
    <row r="15" spans="2:4" x14ac:dyDescent="0.45">
      <c r="B15" s="236" t="s">
        <v>231</v>
      </c>
      <c r="C15" s="106" t="s">
        <v>230</v>
      </c>
    </row>
    <row r="16" spans="2:4" x14ac:dyDescent="0.45">
      <c r="B16" s="236"/>
      <c r="C16" s="106" t="s">
        <v>229</v>
      </c>
    </row>
    <row r="17" spans="2:3" x14ac:dyDescent="0.45">
      <c r="B17" s="236"/>
      <c r="C17" s="106" t="s">
        <v>228</v>
      </c>
    </row>
    <row r="18" spans="2:3" x14ac:dyDescent="0.45">
      <c r="B18" s="236"/>
      <c r="C18" s="106" t="s">
        <v>223</v>
      </c>
    </row>
    <row r="19" spans="2:3" ht="14.65" thickBot="1" x14ac:dyDescent="0.5">
      <c r="B19" s="236"/>
      <c r="C19" s="108" t="s">
        <v>222</v>
      </c>
    </row>
    <row r="20" spans="2:3" x14ac:dyDescent="0.45">
      <c r="B20" s="236"/>
      <c r="C20" s="106" t="s">
        <v>227</v>
      </c>
    </row>
    <row r="21" spans="2:3" x14ac:dyDescent="0.45">
      <c r="B21" s="236"/>
      <c r="C21" s="106" t="s">
        <v>226</v>
      </c>
    </row>
    <row r="22" spans="2:3" x14ac:dyDescent="0.45">
      <c r="B22" s="236"/>
      <c r="C22" s="106" t="s">
        <v>225</v>
      </c>
    </row>
    <row r="23" spans="2:3" x14ac:dyDescent="0.45">
      <c r="B23" s="236"/>
      <c r="C23" s="106" t="s">
        <v>224</v>
      </c>
    </row>
    <row r="24" spans="2:3" x14ac:dyDescent="0.45">
      <c r="B24" s="236"/>
      <c r="C24" s="106" t="s">
        <v>223</v>
      </c>
    </row>
    <row r="25" spans="2:3" ht="14.65" thickBot="1" x14ac:dyDescent="0.5">
      <c r="B25" s="236"/>
      <c r="C25" s="108" t="s">
        <v>222</v>
      </c>
    </row>
    <row r="26" spans="2:3" ht="28.5" x14ac:dyDescent="0.45">
      <c r="B26" s="236"/>
      <c r="C26" s="238" t="s">
        <v>221</v>
      </c>
    </row>
    <row r="27" spans="2:3" x14ac:dyDescent="0.45">
      <c r="B27" s="236"/>
      <c r="C27" s="237" t="s">
        <v>220</v>
      </c>
    </row>
    <row r="28" spans="2:3" x14ac:dyDescent="0.45">
      <c r="B28" s="236"/>
      <c r="C28" s="236" t="s">
        <v>219</v>
      </c>
    </row>
    <row r="29" spans="2:3" x14ac:dyDescent="0.45">
      <c r="B29" s="236"/>
      <c r="C29" s="236" t="s">
        <v>218</v>
      </c>
    </row>
    <row r="30" spans="2:3" ht="14.65" thickBot="1" x14ac:dyDescent="0.5">
      <c r="B30" s="235"/>
      <c r="C30" s="235" t="s">
        <v>217</v>
      </c>
    </row>
    <row r="34" spans="2:3" x14ac:dyDescent="0.45">
      <c r="B34" t="s">
        <v>216</v>
      </c>
      <c r="C34" s="234" t="s">
        <v>215</v>
      </c>
    </row>
    <row r="35" spans="2:3" x14ac:dyDescent="0.45">
      <c r="B35" t="s">
        <v>214</v>
      </c>
      <c r="C35" s="234" t="s">
        <v>213</v>
      </c>
    </row>
  </sheetData>
  <mergeCells count="1">
    <mergeCell ref="C6:C7"/>
  </mergeCells>
  <hyperlinks>
    <hyperlink ref="C34" r:id="rId1" xr:uid="{E3F1FB2E-9AF1-4558-A5C7-19946178EA9C}"/>
    <hyperlink ref="C35" r:id="rId2" xr:uid="{E6A26047-6FC6-4608-822F-666126286CE1}"/>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F8C25-3124-45AB-900F-F844B8996C36}">
  <dimension ref="A1:D14"/>
  <sheetViews>
    <sheetView workbookViewId="0">
      <selection activeCell="I14" sqref="I14"/>
    </sheetView>
  </sheetViews>
  <sheetFormatPr baseColWidth="10" defaultRowHeight="14.25" x14ac:dyDescent="0.45"/>
  <cols>
    <col min="1" max="1" width="16.73046875" customWidth="1"/>
    <col min="2" max="2" width="15.265625" customWidth="1"/>
    <col min="3" max="3" width="14.265625" style="231" bestFit="1" customWidth="1"/>
  </cols>
  <sheetData>
    <row r="1" spans="1:4" x14ac:dyDescent="0.45">
      <c r="C1" s="231">
        <v>0</v>
      </c>
      <c r="D1" t="s">
        <v>259</v>
      </c>
    </row>
    <row r="2" spans="1:4" x14ac:dyDescent="0.45">
      <c r="B2" t="s">
        <v>250</v>
      </c>
      <c r="C2" s="231">
        <v>1</v>
      </c>
      <c r="D2" t="s">
        <v>251</v>
      </c>
    </row>
    <row r="3" spans="1:4" x14ac:dyDescent="0.45">
      <c r="B3" t="s">
        <v>244</v>
      </c>
      <c r="C3" s="231">
        <v>2</v>
      </c>
      <c r="D3" t="s">
        <v>257</v>
      </c>
    </row>
    <row r="4" spans="1:4" x14ac:dyDescent="0.45">
      <c r="B4" t="s">
        <v>249</v>
      </c>
      <c r="C4" s="231">
        <v>3</v>
      </c>
      <c r="D4" t="s">
        <v>252</v>
      </c>
    </row>
    <row r="5" spans="1:4" x14ac:dyDescent="0.45">
      <c r="B5" t="s">
        <v>246</v>
      </c>
      <c r="C5" s="231">
        <v>4</v>
      </c>
      <c r="D5" t="s">
        <v>253</v>
      </c>
    </row>
    <row r="6" spans="1:4" x14ac:dyDescent="0.45">
      <c r="B6" t="s">
        <v>245</v>
      </c>
      <c r="C6" s="231">
        <v>5</v>
      </c>
      <c r="D6" t="s">
        <v>256</v>
      </c>
    </row>
    <row r="7" spans="1:4" x14ac:dyDescent="0.45">
      <c r="B7" t="s">
        <v>248</v>
      </c>
      <c r="C7" s="231">
        <v>6</v>
      </c>
      <c r="D7" t="s">
        <v>255</v>
      </c>
    </row>
    <row r="8" spans="1:4" x14ac:dyDescent="0.45">
      <c r="B8" t="s">
        <v>247</v>
      </c>
      <c r="C8" s="231">
        <v>7</v>
      </c>
      <c r="D8" t="s">
        <v>254</v>
      </c>
    </row>
    <row r="9" spans="1:4" x14ac:dyDescent="0.45">
      <c r="C9" s="231">
        <v>8</v>
      </c>
      <c r="D9" t="s">
        <v>258</v>
      </c>
    </row>
    <row r="12" spans="1:4" x14ac:dyDescent="0.45">
      <c r="A12" s="94" t="s">
        <v>261</v>
      </c>
      <c r="B12" t="s">
        <v>260</v>
      </c>
    </row>
    <row r="14" spans="1:4" x14ac:dyDescent="0.45">
      <c r="A14" s="94" t="s">
        <v>262</v>
      </c>
      <c r="B14" t="s">
        <v>263</v>
      </c>
    </row>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H52"/>
  <sheetViews>
    <sheetView view="pageBreakPreview" zoomScale="104" zoomScaleSheetLayoutView="104" workbookViewId="0">
      <selection activeCell="H23" sqref="H23"/>
    </sheetView>
  </sheetViews>
  <sheetFormatPr baseColWidth="10" defaultColWidth="10.86328125" defaultRowHeight="14.25" x14ac:dyDescent="0.45"/>
  <cols>
    <col min="1" max="1" width="3.3984375" style="5" customWidth="1"/>
    <col min="2" max="2" width="20.3984375" style="5" bestFit="1" customWidth="1"/>
    <col min="3" max="3" width="15" style="5" bestFit="1" customWidth="1"/>
    <col min="4" max="7" width="10.86328125" style="5"/>
    <col min="8" max="8" width="13.1328125" style="5" customWidth="1"/>
    <col min="9" max="16384" width="10.86328125" style="5"/>
  </cols>
  <sheetData>
    <row r="1" spans="2:8" s="1" customFormat="1" ht="13.15" x14ac:dyDescent="0.4"/>
    <row r="2" spans="2:8" s="1" customFormat="1" ht="13.15" x14ac:dyDescent="0.4">
      <c r="B2" s="367" t="s">
        <v>29</v>
      </c>
      <c r="C2" s="367"/>
      <c r="D2" s="367"/>
      <c r="E2" s="367"/>
      <c r="F2" s="367"/>
      <c r="G2" s="367"/>
      <c r="H2" s="367"/>
    </row>
    <row r="3" spans="2:8" s="1" customFormat="1" ht="13.15" x14ac:dyDescent="0.4">
      <c r="B3" s="2"/>
      <c r="C3" s="2"/>
      <c r="D3" s="2"/>
    </row>
    <row r="4" spans="2:8" s="1" customFormat="1" ht="13.15" x14ac:dyDescent="0.4">
      <c r="B4" s="3" t="s">
        <v>20</v>
      </c>
      <c r="C4" s="3" t="str">
        <f>+'Plan de pagos'!M5</f>
        <v xml:space="preserve"> BELTRAN GAITAN KATHERINE LORENA</v>
      </c>
      <c r="D4" s="2"/>
    </row>
    <row r="5" spans="2:8" s="1" customFormat="1" ht="13.15" x14ac:dyDescent="0.4">
      <c r="B5" s="3" t="s">
        <v>28</v>
      </c>
      <c r="C5" s="4">
        <f>+'Plan de pagos'!M6</f>
        <v>1104701529</v>
      </c>
      <c r="D5" s="2"/>
    </row>
    <row r="6" spans="2:8" s="1" customFormat="1" ht="13.15" x14ac:dyDescent="0.4">
      <c r="B6" s="3" t="s">
        <v>19</v>
      </c>
      <c r="C6" s="3" t="str">
        <f>+'Plan de pagos'!M7</f>
        <v>Capital de trabajo</v>
      </c>
    </row>
    <row r="8" spans="2:8" x14ac:dyDescent="0.45">
      <c r="B8" s="368" t="s">
        <v>37</v>
      </c>
      <c r="C8" s="368"/>
      <c r="D8" s="368"/>
      <c r="E8" s="368"/>
      <c r="F8" s="368"/>
      <c r="G8" s="368"/>
      <c r="H8" s="368"/>
    </row>
    <row r="45" ht="19.5" customHeight="1" x14ac:dyDescent="0.45"/>
    <row r="52" spans="2:8" x14ac:dyDescent="0.45">
      <c r="B52" s="368" t="s">
        <v>38</v>
      </c>
      <c r="C52" s="368"/>
      <c r="D52" s="368"/>
      <c r="E52" s="368"/>
      <c r="F52" s="368"/>
      <c r="G52" s="368"/>
      <c r="H52" s="368"/>
    </row>
  </sheetData>
  <mergeCells count="3">
    <mergeCell ref="B2:H2"/>
    <mergeCell ref="B8:H8"/>
    <mergeCell ref="B52:H52"/>
  </mergeCells>
  <pageMargins left="0.70866141732283472" right="0.70866141732283472" top="0.9055118110236221" bottom="0.74803149606299213" header="0.31496062992125984" footer="0.31496062992125984"/>
  <pageSetup scale="93" orientation="portrait" r:id="rId1"/>
  <headerFooter>
    <oddHeader>&amp;L&amp;G&amp;R
&amp;D</oddHeader>
    <oddFooter>&amp;R&amp;T</oddFoot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7</vt:i4>
      </vt:variant>
    </vt:vector>
  </HeadingPairs>
  <TitlesOfParts>
    <vt:vector size="18" baseType="lpstr">
      <vt:lpstr>Simulador</vt:lpstr>
      <vt:lpstr>Plan de pagos</vt:lpstr>
      <vt:lpstr>Flujo Empleado</vt:lpstr>
      <vt:lpstr>Analisis</vt:lpstr>
      <vt:lpstr>Guion</vt:lpstr>
      <vt:lpstr>Preguntas_Reto</vt:lpstr>
      <vt:lpstr>Referenciación</vt:lpstr>
      <vt:lpstr>Fotos</vt:lpstr>
      <vt:lpstr>Preguntas reto</vt:lpstr>
      <vt:lpstr>ListaDepegable</vt:lpstr>
      <vt:lpstr>Evidencia Fotografica</vt:lpstr>
      <vt:lpstr>Analisis!Área_de_impresión</vt:lpstr>
      <vt:lpstr>'Evidencia Fotografica'!Área_de_impresión</vt:lpstr>
      <vt:lpstr>'Flujo Empleado'!Área_de_impresión</vt:lpstr>
      <vt:lpstr>'Plan de pagos'!Área_de_impresión</vt:lpstr>
      <vt:lpstr>Modalidad</vt:lpstr>
      <vt:lpstr>'Evidencia Fotografica'!Títulos_a_imprimir</vt:lpstr>
      <vt:lpstr>'Plan de pagos'!Títulos_a_imprimir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freddy</dc:creator>
  <cp:lastModifiedBy>MacBook</cp:lastModifiedBy>
  <cp:lastPrinted>2022-07-11T16:55:39Z</cp:lastPrinted>
  <dcterms:created xsi:type="dcterms:W3CDTF">2016-07-17T21:06:19Z</dcterms:created>
  <dcterms:modified xsi:type="dcterms:W3CDTF">2026-07-11T15:22:08Z</dcterms:modified>
</cp:coreProperties>
</file>