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FINALCO\Credito y Riesgos\Analisis de credito\"/>
    </mc:Choice>
  </mc:AlternateContent>
  <xr:revisionPtr revIDLastSave="0" documentId="13_ncr:1_{0F26B80A-87B5-4084-A1CF-99958853106B}" xr6:coauthVersionLast="47" xr6:coauthVersionMax="47" xr10:uidLastSave="{00000000-0000-0000-0000-000000000000}"/>
  <bookViews>
    <workbookView xWindow="-108" yWindow="-108" windowWidth="23256" windowHeight="12456" tabRatio="500" firstSheet="1" activeTab="1" xr2:uid="{00000000-000D-0000-FFFF-FFFF00000000}"/>
  </bookViews>
  <sheets>
    <sheet name="Plan de pagos" sheetId="1" r:id="rId1"/>
    <sheet name="Captura información" sheetId="2" r:id="rId2"/>
    <sheet name="Flujo credito" sheetId="3" r:id="rId3"/>
    <sheet name="Motor de Decision" sheetId="4" r:id="rId4"/>
    <sheet name="Guia" sheetId="5" r:id="rId5"/>
    <sheet name="Preguntas_Reto" sheetId="6" state="hidden" r:id="rId6"/>
    <sheet name="Evidencia Fotografica" sheetId="7" state="hidden" r:id="rId7"/>
    <sheet name="Simulador" sheetId="8" r:id="rId8"/>
    <sheet name="Guion" sheetId="9" r:id="rId9"/>
    <sheet name="Referenciación" sheetId="10" r:id="rId10"/>
    <sheet name="Preguntas reto" sheetId="11" r:id="rId11"/>
    <sheet name="Reglas" sheetId="12" r:id="rId12"/>
    <sheet name="Listas" sheetId="13" r:id="rId13"/>
    <sheet name="Calculo_Score" sheetId="14" r:id="rId14"/>
  </sheets>
  <externalReferences>
    <externalReference r:id="rId15"/>
    <externalReference r:id="rId16"/>
  </externalReferences>
  <definedNames>
    <definedName name="_xlnm.Print_Area" localSheetId="6">'Evidencia Fotografica'!$A$1:$H$87</definedName>
    <definedName name="_xlnm.Print_Area" localSheetId="2">'Flujo credito'!$A$1:$F$53</definedName>
    <definedName name="_xlnm.Print_Area" localSheetId="0">'Plan de pagos'!$A$1:$P$25</definedName>
    <definedName name="LST_ADRES">Listas!$A$121:$A$124</definedName>
    <definedName name="LST_APETITO">Listas!$A$104:$A$108</definedName>
    <definedName name="LST_ARRAIGO">Listas!$A$90:$A$93</definedName>
    <definedName name="LST_BANCARIZACION">Listas!$A$95:$A$97</definedName>
    <definedName name="LST_CALIFICACION">Listas!$A$55:$A$58</definedName>
    <definedName name="LST_CARGA">Listas!$A$17:$A$20</definedName>
    <definedName name="LST_CARGA_TOTAL">Listas!$A$75:$A$78</definedName>
    <definedName name="LST_CIERRES">Listas!$A$33:$A$37</definedName>
    <definedName name="LST_COHERENCIA">Listas!$A$80:$A$83</definedName>
    <definedName name="LST_COMP_6M">Listas!$A$22:$A$26</definedName>
    <definedName name="LST_DISPONIBLE">Listas!$A$65:$A$68</definedName>
    <definedName name="LST_ESTADO_ACTUAL">Listas!$A$28:$A$31</definedName>
    <definedName name="LST_EXPERIENCIA">Listas!$A$60:$A$63</definedName>
    <definedName name="LST_FORMALIDAD">Listas!$A$100:$A$102</definedName>
    <definedName name="LST_HOLGURA">Listas!$A$7:$A$10</definedName>
    <definedName name="LST_IDENTIDAD">Listas!$A$85:$A$88</definedName>
    <definedName name="LST_MORA_12M">Listas!$A$44:$A$48</definedName>
    <definedName name="LST_MORA_HOY">Listas!$A$12:$A$15</definedName>
    <definedName name="LST_PESO_CUOTA">Listas!$A$70:$A$73</definedName>
    <definedName name="LST_PUNTUALIDAD">Listas!$A$39:$A$42</definedName>
    <definedName name="LST_TDC">Listas!$A$129:$A$133</definedName>
    <definedName name="LST_TENDENCIA">Listas!$A$50:$A$53</definedName>
    <definedName name="LST_USO_CUPO">Listas!$A$2:$A$5</definedName>
    <definedName name="Modalidad" localSheetId="13">'[2]Plan de pagos'!$R$13:$R$14</definedName>
    <definedName name="Modalidad" localSheetId="2">#REF!</definedName>
    <definedName name="Modalidad" localSheetId="10">'[1]Plan de pagos'!$R$13:$R$14</definedName>
    <definedName name="Modalidad" localSheetId="5">#REF!</definedName>
    <definedName name="Modalidad">'Plan de pagos'!#REF!</definedName>
    <definedName name="_xlnm.Print_Titles" localSheetId="6">'Evidencia Fotografica'!$2:$6</definedName>
    <definedName name="_xlnm.Print_Titles" localSheetId="0">'Plan de pagos'!$17:$17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8" l="1"/>
  <c r="C6" i="7"/>
  <c r="C5" i="7"/>
  <c r="C4" i="7"/>
  <c r="D95" i="4"/>
  <c r="H85" i="4"/>
  <c r="C85" i="4"/>
  <c r="H82" i="4"/>
  <c r="C82" i="4"/>
  <c r="H81" i="4"/>
  <c r="C81" i="4"/>
  <c r="E70" i="4"/>
  <c r="G67" i="4"/>
  <c r="F66" i="4"/>
  <c r="D66" i="4"/>
  <c r="D64" i="4"/>
  <c r="F64" i="4" s="1"/>
  <c r="D63" i="4"/>
  <c r="F63" i="4" s="1"/>
  <c r="D62" i="4"/>
  <c r="F62" i="4" s="1"/>
  <c r="G58" i="4"/>
  <c r="G50" i="4"/>
  <c r="F48" i="4"/>
  <c r="D48" i="4"/>
  <c r="D47" i="4"/>
  <c r="F47" i="4" s="1"/>
  <c r="D46" i="4"/>
  <c r="F46" i="4" s="1"/>
  <c r="D45" i="4"/>
  <c r="F45" i="4" s="1"/>
  <c r="F44" i="4"/>
  <c r="D44" i="4"/>
  <c r="F43" i="4"/>
  <c r="D43" i="4"/>
  <c r="F42" i="4"/>
  <c r="D42" i="4"/>
  <c r="G39" i="4"/>
  <c r="D38" i="4"/>
  <c r="F38" i="4" s="1"/>
  <c r="D37" i="4"/>
  <c r="F37" i="4" s="1"/>
  <c r="D36" i="4"/>
  <c r="F36" i="4" s="1"/>
  <c r="F34" i="4"/>
  <c r="D34" i="4"/>
  <c r="D28" i="4"/>
  <c r="H84" i="4" s="1"/>
  <c r="C84" i="4" s="1"/>
  <c r="D20" i="4"/>
  <c r="D19" i="4"/>
  <c r="E16" i="4"/>
  <c r="D16" i="4"/>
  <c r="E15" i="4"/>
  <c r="D15" i="4"/>
  <c r="D12" i="4"/>
  <c r="D11" i="4"/>
  <c r="D10" i="4"/>
  <c r="D9" i="4"/>
  <c r="D7" i="4"/>
  <c r="D6" i="4"/>
  <c r="E34" i="3"/>
  <c r="E33" i="3" a="1"/>
  <c r="F33" i="3" s="1"/>
  <c r="E33" i="3"/>
  <c r="E32" i="3"/>
  <c r="E31" i="3"/>
  <c r="D25" i="3"/>
  <c r="D24" i="3"/>
  <c r="D23" i="3"/>
  <c r="D10" i="3"/>
  <c r="E48" i="3" s="1"/>
  <c r="D57" i="4" s="1"/>
  <c r="F57" i="4" s="1"/>
  <c r="D9" i="3"/>
  <c r="D11" i="3" s="1"/>
  <c r="D6" i="3"/>
  <c r="C6" i="3" a="1"/>
  <c r="C6" i="3"/>
  <c r="C5" i="3" a="1"/>
  <c r="D5" i="3" s="1"/>
  <c r="C5" i="3"/>
  <c r="D56" i="2"/>
  <c r="D65" i="4" s="1"/>
  <c r="F65" i="4" s="1"/>
  <c r="D45" i="2"/>
  <c r="D90" i="4" s="1"/>
  <c r="D30" i="2"/>
  <c r="D49" i="4" s="1"/>
  <c r="F49" i="4" s="1"/>
  <c r="H22" i="2"/>
  <c r="H21" i="2"/>
  <c r="D21" i="4" s="1"/>
  <c r="H19" i="2"/>
  <c r="H20" i="2" s="1"/>
  <c r="C88" i="4" s="1"/>
  <c r="E18" i="1"/>
  <c r="D18" i="1"/>
  <c r="C18" i="1"/>
  <c r="P10" i="1"/>
  <c r="J7" i="1"/>
  <c r="J8" i="1" s="1"/>
  <c r="J9" i="1" s="1"/>
  <c r="F7" i="1"/>
  <c r="E35" i="3" s="1" a="1"/>
  <c r="F6" i="1"/>
  <c r="F18" i="1" s="1"/>
  <c r="D12" i="2" l="1"/>
  <c r="D19" i="2"/>
  <c r="D22" i="4"/>
  <c r="D72" i="4" s="1"/>
  <c r="H23" i="2"/>
  <c r="D20" i="2" s="1"/>
  <c r="F50" i="4"/>
  <c r="D16" i="3"/>
  <c r="E11" i="3"/>
  <c r="G35" i="3"/>
  <c r="F35" i="3"/>
  <c r="E35" i="3"/>
  <c r="F67" i="4"/>
  <c r="F6" i="8" a="1"/>
  <c r="L19" i="1"/>
  <c r="K7" i="8" s="1"/>
  <c r="H80" i="4"/>
  <c r="C80" i="4" s="1"/>
  <c r="D73" i="4"/>
  <c r="J10" i="1"/>
  <c r="G33" i="3"/>
  <c r="D29" i="4"/>
  <c r="O20" i="1"/>
  <c r="O19" i="1"/>
  <c r="B19" i="8"/>
  <c r="B21" i="8" s="1"/>
  <c r="D74" i="4" l="1"/>
  <c r="D71" i="4"/>
  <c r="G6" i="8"/>
  <c r="F6" i="8"/>
  <c r="H6" i="8"/>
  <c r="N7" i="8"/>
  <c r="J19" i="1"/>
  <c r="O21" i="1"/>
  <c r="N9" i="8" s="1"/>
  <c r="N8" i="8"/>
  <c r="E12" i="3"/>
  <c r="E16" i="3" s="1"/>
  <c r="D17" i="3"/>
  <c r="E17" i="3" s="1"/>
  <c r="E15" i="3"/>
  <c r="E14" i="3"/>
  <c r="E13" i="3"/>
  <c r="D18" i="3" l="1"/>
  <c r="I7" i="8" a="1"/>
  <c r="N19" i="1"/>
  <c r="M7" i="8" s="1"/>
  <c r="M19" i="1"/>
  <c r="C19" i="1"/>
  <c r="F19" i="1"/>
  <c r="D20" i="3" l="1"/>
  <c r="E39" i="3"/>
  <c r="D52" i="3"/>
  <c r="D22" i="3"/>
  <c r="E42" i="3"/>
  <c r="F7" i="8" a="1"/>
  <c r="L20" i="1"/>
  <c r="D19" i="1"/>
  <c r="D7" i="8" s="1"/>
  <c r="C7" i="8"/>
  <c r="E19" i="1"/>
  <c r="E7" i="8" s="1"/>
  <c r="L7" i="8"/>
  <c r="P19" i="1"/>
  <c r="J7" i="8"/>
  <c r="I7" i="8"/>
  <c r="H7" i="8" l="1"/>
  <c r="G7" i="8"/>
  <c r="F7" i="8"/>
  <c r="L21" i="1"/>
  <c r="K9" i="8" s="1"/>
  <c r="B16" i="8" s="1"/>
  <c r="K8" i="8"/>
  <c r="J20" i="1"/>
  <c r="E22" i="3"/>
  <c r="D27" i="4"/>
  <c r="H83" i="4" s="1"/>
  <c r="C83" i="4" s="1"/>
  <c r="B19" i="1"/>
  <c r="B7" i="8" s="1"/>
  <c r="O7" i="8"/>
  <c r="E37" i="3"/>
  <c r="D28" i="3"/>
  <c r="E49" i="3" l="1"/>
  <c r="D35" i="4" s="1"/>
  <c r="F35" i="4" s="1"/>
  <c r="F39" i="4" s="1"/>
  <c r="D70" i="4" s="1"/>
  <c r="D75" i="4" s="1"/>
  <c r="D76" i="4" s="1"/>
  <c r="E50" i="3"/>
  <c r="E40" i="3"/>
  <c r="E43" i="3"/>
  <c r="E47" i="3"/>
  <c r="D56" i="4" s="1"/>
  <c r="F56" i="4" s="1"/>
  <c r="E44" i="3"/>
  <c r="C20" i="1"/>
  <c r="J21" i="1"/>
  <c r="I9" i="8" s="1" a="1"/>
  <c r="I8" i="8" a="1"/>
  <c r="N20" i="1"/>
  <c r="M20" i="1"/>
  <c r="F20" i="1"/>
  <c r="F8" i="8" s="1" a="1"/>
  <c r="E27" i="3"/>
  <c r="E26" i="3"/>
  <c r="E21" i="3"/>
  <c r="E24" i="3"/>
  <c r="E25" i="3"/>
  <c r="E36" i="3"/>
  <c r="E20" i="3"/>
  <c r="E76" i="4" l="1"/>
  <c r="D86" i="4"/>
  <c r="G8" i="8"/>
  <c r="H8" i="8"/>
  <c r="F8" i="8"/>
  <c r="M8" i="8"/>
  <c r="N21" i="1"/>
  <c r="M9" i="8" s="1"/>
  <c r="B18" i="8" s="1"/>
  <c r="E28" i="3"/>
  <c r="J9" i="8"/>
  <c r="I9" i="8"/>
  <c r="M21" i="1"/>
  <c r="L9" i="8" s="1"/>
  <c r="B17" i="8" s="1"/>
  <c r="B22" i="8" s="1"/>
  <c r="L8" i="8"/>
  <c r="P20" i="1"/>
  <c r="J8" i="8"/>
  <c r="I8" i="8"/>
  <c r="E45" i="3"/>
  <c r="E38" i="3"/>
  <c r="E46" i="3" s="1"/>
  <c r="D20" i="1"/>
  <c r="D8" i="8" s="1"/>
  <c r="E20" i="1"/>
  <c r="E8" i="8" s="1"/>
  <c r="C8" i="8"/>
  <c r="H79" i="4"/>
  <c r="C79" i="4" s="1"/>
  <c r="D55" i="4"/>
  <c r="F55" i="4" s="1"/>
  <c r="C113" i="4" l="1"/>
  <c r="D87" i="4"/>
  <c r="B20" i="1"/>
  <c r="B8" i="8" s="1"/>
  <c r="O8" i="8"/>
  <c r="P21" i="1"/>
  <c r="O9" i="8" s="1"/>
  <c r="D54" i="4"/>
  <c r="F54" i="4" s="1"/>
  <c r="F58" i="4" s="1"/>
  <c r="H78" i="4"/>
  <c r="C7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Finalco</author>
  </authors>
  <commentList>
    <comment ref="D7" authorId="0" shapeId="0" xr:uid="{00000000-0006-0000-0100-000001000000}">
      <text>
        <r>
          <rPr>
            <sz val="10"/>
            <rFont val="Arial"/>
            <family val="2"/>
          </rPr>
          <t>Escriba 'Vigente' si el documento esta vigente. Cualquier otra cosa (fallecido, cancelado, suspendido) = RECHAZO TECNICO. (Manual HDC campo 3)</t>
        </r>
      </text>
    </comment>
    <comment ref="D8" authorId="0" shapeId="0" xr:uid="{00000000-0006-0000-0100-000002000000}">
      <text>
        <r>
          <rPr>
            <sz val="10"/>
            <rFont val="Arial"/>
            <family val="2"/>
          </rPr>
          <t>TIPO 1 = apellido coincide y SI hay informacion (lo normal/OK). TIPO 5 = no tiene info. TIPO 6 = apellido NO coincide. TIPO 7 = la cedula no existe. 5/6/7 = RECHAZO TECNICO. (Manual HDC campo 135)</t>
        </r>
      </text>
    </comment>
    <comment ref="D9" authorId="0" shapeId="0" xr:uid="{00000000-0006-0000-0100-000003000000}">
      <text>
        <r>
          <rPr>
            <sz val="10"/>
            <rFont val="Arial"/>
            <family val="2"/>
          </rPr>
          <t>Cuantos creditos tiene ABIERTOS hoy (no incluye cuentas de ahorro). Ej: 11. (Manual HDC campo 20)</t>
        </r>
      </text>
    </comment>
    <comment ref="D13" authorId="0" shapeId="0" xr:uid="{00000000-0006-0000-0100-000004000000}">
      <text>
        <r>
          <rPr>
            <sz val="10"/>
            <rFont val="Arial"/>
            <family val="2"/>
          </rPr>
          <t>Dinero VENCIDO hoy. El reporte viene en miles. 0 si no hay. Si supera el umbral de Reglas = RECHAZO TECNICO. (Manual HDC campo 40)</t>
        </r>
      </text>
    </comment>
    <comment ref="D15" authorId="0" shapeId="0" xr:uid="{00000000-0006-0000-0100-000005000000}">
      <text>
        <r>
          <rPr>
            <sz val="10"/>
            <rFont val="Arial"/>
            <family val="2"/>
          </rPr>
          <t>Cuantos creditos ABIERTOS tienen 60+ dias de mora. Si es 1 o mas = RECHAZO TECNICO. (Manual HDC campo 32)</t>
        </r>
      </text>
    </comment>
    <comment ref="D24" authorId="0" shapeId="0" xr:uid="{00000000-0006-0000-0100-000006000000}">
      <text>
        <r>
          <rPr>
            <sz val="10"/>
            <rFont val="Arial"/>
            <family val="2"/>
          </rPr>
          <t>Digite la fecha de nacimiento del solicitante. El Excel calcula la edad solo (menos trabajo para usted).</t>
        </r>
      </text>
    </comment>
    <comment ref="D26" authorId="0" shapeId="0" xr:uid="{00000000-0006-0000-0100-000007000000}">
      <text>
        <r>
          <rPr>
            <sz val="10"/>
            <rFont val="Arial"/>
            <family val="2"/>
          </rPr>
          <t>SI/NO. El RUT da formalidad al independiente. (Manual HDC campo 8)</t>
        </r>
      </text>
    </comment>
    <comment ref="D29" authorId="0" shapeId="0" xr:uid="{00000000-0006-0000-0100-000008000000}">
      <text>
        <r>
          <rPr>
            <sz val="10"/>
            <rFont val="Arial"/>
            <family val="2"/>
          </rPr>
          <t>Fecha de apertura del credito mas viejo. Mide su experiencia. El Excel calcula los anos. Si no tiene experiencia financiera, use la del sector real/telcos. (Manual HDC campo 26)</t>
        </r>
      </text>
    </comment>
    <comment ref="D31" authorId="0" shapeId="0" xr:uid="{00000000-0006-0000-0100-000009000000}">
      <text>
        <r>
          <rPr>
            <sz val="10"/>
            <rFont val="Arial"/>
            <family val="2"/>
          </rPr>
          <t>Digite el % de la fila TOTAL (saldo / cupo). Ej: 0.891 = 89.1% (casi lleno). (Manual HDC campo 43)</t>
        </r>
      </text>
    </comment>
    <comment ref="D32" authorId="0" shapeId="0" xr:uid="{00000000-0006-0000-0100-00000A000000}">
      <text>
        <r>
          <rPr>
            <sz val="10"/>
            <rFont val="Arial"/>
            <family val="2"/>
          </rPr>
          <t>Suma de cuotas mensuales que ya paga. El reporte viene EN MILES: 5.057 = digite 5057000. (Manual HDC campo 41)</t>
        </r>
      </text>
    </comment>
    <comment ref="D35" authorId="0" shapeId="0" xr:uid="{00000000-0006-0000-0100-00000B000000}">
      <text>
        <r>
          <rPr>
            <sz val="10"/>
            <rFont val="Arial"/>
            <family val="2"/>
          </rPr>
          <t>Promedio de % de uso de las tarjetas de credito (saldo/cupo de cada TDC). TESIS: usar poco el cupo = buen manejo y deja margen para emergencias; tener las tarjetas al tope (100%) = sin opciones, situacion mas riesgosa. Si NO tiene tarjetas, deje la celda vacia (se toma como neutral). Alimenta el eje CAPACIDAD.</t>
        </r>
      </text>
    </comment>
    <comment ref="D36" authorId="0" shapeId="0" xr:uid="{00000000-0006-0000-0100-00000C000000}">
      <text>
        <r>
          <rPr>
            <sz val="10"/>
            <rFont val="Arial"/>
            <family val="2"/>
          </rPr>
          <t>A=normal/al dia, B=aceptable, C=apreciable, D=significativo, E=incobrable. Escriba A si todas A; AB si mezcla A-B; C si hay C; DE si hay D o E. (Manual HDC campo 37)</t>
        </r>
      </text>
    </comment>
    <comment ref="D37" authorId="0" shapeId="0" xr:uid="{00000000-0006-0000-0100-00000D000000}">
      <text>
        <r>
          <rPr>
            <sz val="10"/>
            <rFont val="Arial"/>
            <family val="2"/>
          </rPr>
          <t>Cuente SOLO consultas de entidades con intencion de credito. Excluya: "CIUDADANO" (el propio cliente consultandose) y "CONSULTAS LOTE" (barridos masivos de entidades). Ver Historico de Consultas del PN.</t>
        </r>
      </text>
    </comment>
    <comment ref="D38" authorId="0" shapeId="0" xr:uid="{00000000-0006-0000-0100-00000E000000}">
      <text>
        <r>
          <rPr>
            <sz val="10"/>
            <rFont val="Arial"/>
            <family val="2"/>
          </rPr>
          <t>Peor codigo del vector en 12 meses. N=al dia, 1=30d, 2=60d, 3=90d, 4=120d, C=castigada, D=dudoso.</t>
        </r>
      </text>
    </comment>
    <comment ref="D39" authorId="0" shapeId="0" xr:uid="{00000000-0006-0000-0100-00000F000000}">
      <text>
        <r>
          <rPr>
            <sz val="10"/>
            <rFont val="Arial"/>
            <family val="2"/>
          </rPr>
          <t>Mire el saldo en mora mes a mes (12m) y diga si sube, baja o esta en cero.</t>
        </r>
      </text>
    </comment>
    <comment ref="D42" authorId="0" shapeId="0" xr:uid="{00000000-0006-0000-0100-000010000000}">
      <text>
        <r>
          <rPr>
            <sz val="10"/>
            <rFont val="Arial"/>
            <family val="2"/>
          </rPr>
          <t>AL DIA=al dia; ESTA EN MORA XX=dias en mora; DUDOSO RECAUDO=+6 meses; CART. CASTIGADA=perdida. (Manual HDC campo 36)</t>
        </r>
      </text>
    </comment>
    <comment ref="D43" authorId="0" shapeId="0" xr:uid="{00000000-0006-0000-0100-000011000000}">
      <text>
        <r>
          <rPr>
            <sz val="10"/>
            <rFont val="Arial"/>
            <family val="2"/>
          </rPr>
          <t>Cuente solo las cuentas activas abiertas hace MAS de 1 año (fecha de apertura en Habito de Pago). Cuentas recientes no cuentan: reducen el riesgo de suplantacion.</t>
        </r>
      </text>
    </comment>
    <comment ref="D44" authorId="0" shapeId="0" xr:uid="{00000000-0006-0000-0100-000012000000}">
      <text>
        <r>
          <rPr>
            <sz val="10"/>
            <rFont val="Arial"/>
            <family val="2"/>
          </rPr>
          <t>Digite la FECHA de apertura de la cuenta de ahorros que el cliente registro en Digiventure para el desembolso (esta en el HC). El Excel calcula los meses de antiguedad. Si la cuenta tiene menos de 12 meses, se exige otra cuenta o preguntas reto (anti-suplantacion).</t>
        </r>
      </text>
    </comment>
    <comment ref="D46" authorId="0" shapeId="0" xr:uid="{00000000-0006-0000-0100-000013000000}">
      <text>
        <r>
          <rPr>
            <sz val="10"/>
            <rFont val="Arial"/>
            <family val="2"/>
          </rPr>
          <t>PAGO VOL/SALDADO = cerro bien; CAN. MAL MANEJO = cerro mal. % de cierres buenos. (Manual HDC campo 73)</t>
        </r>
      </text>
    </comment>
    <comment ref="D47" authorId="0" shapeId="0" xr:uid="{00000000-0006-0000-0100-000014000000}">
      <text>
        <r>
          <rPr>
            <sz val="10"/>
            <rFont val="Arial"/>
            <family val="2"/>
          </rPr>
          <t>Peor codigo de los ultimos 6 meses. N=al dia, 1=30d,...,6=180d, D=dudoso, C=castigada. (Manual HDC campo 55)</t>
        </r>
      </text>
    </comment>
    <comment ref="D48" authorId="0" shapeId="0" xr:uid="{00000000-0006-0000-0100-000015000000}">
      <text>
        <r>
          <rPr>
            <sz val="10"/>
            <rFont val="Arial"/>
            <family val="2"/>
          </rPr>
          <t>Para PERFIL NUEVO: como ha pagado su plan de celular/telco (es su unico historial). Mire el sector Telecomunicaciones en el HC. 'Al dia' = sin atrasos; 'Atrasos leves' = 1-2 meses con mora corta; 'Atrasos serios' = mora alta o en mora hoy; 'Sin telco' = no tiene. Es el mini-comportamiento que reemplaza al financiero en la Ruta Nuevo.</t>
        </r>
      </text>
    </comment>
    <comment ref="D49" authorId="0" shapeId="0" xr:uid="{00000000-0006-0000-0100-000016000000}">
      <text>
        <r>
          <rPr>
            <sz val="10"/>
            <rFont val="Arial"/>
            <family val="2"/>
          </rPr>
          <t>Mire la seccion COMPORTAMIENTO DE PAGO EN DIAS del HC. Por cada mes: 0 = pago sin atraso; un numero = dias de atraso; NP = no pago la cuota ese mes; '-' = sin dato. Elija: 'Puntual 0 dias' si casi todo es 0; 'Irregular' si hay 1-2 meses con numero; 'Incumplido' si hay varios NP. El prepago (pagar antes) solo si el reporte lo muestra.</t>
        </r>
      </text>
    </comment>
    <comment ref="D51" authorId="0" shapeId="0" xr:uid="{00000000-0006-0000-0100-000017000000}">
      <text>
        <r>
          <rPr>
            <sz val="10"/>
            <rFont val="Arial"/>
            <family val="2"/>
          </rPr>
          <t>Cuente entidades distintas en 30 dias. EXCLUYA 'CIUDADANO' y 'CONSULTAS LOTE'. (Manual HDC seccion N)</t>
        </r>
      </text>
    </comment>
    <comment ref="D52" authorId="0" shapeId="0" xr:uid="{00000000-0006-0000-0100-000018000000}">
      <text>
        <r>
          <rPr>
            <sz val="10"/>
            <rFont val="Arial"/>
            <family val="2"/>
          </rPr>
          <t>Si una entidad que lo consulto en los ultimos 3 meses ya aparece como credito ABIERTO, marque SI (ya le prestaron).</t>
        </r>
      </text>
    </comment>
    <comment ref="D53" authorId="0" shapeId="0" xr:uid="{00000000-0006-0000-0100-000019000000}">
      <text>
        <r>
          <rPr>
            <sz val="10"/>
            <rFont val="Arial"/>
            <family val="2"/>
          </rPr>
          <t>En cuantos DEPARTAMENTOS distintos ha estado (no mudanzas dentro del mismo). 1 = muy estable.</t>
        </r>
      </text>
    </comment>
    <comment ref="D54" authorId="0" shapeId="0" xr:uid="{00000000-0006-0000-0100-00001A000000}">
      <text>
        <r>
          <rPr>
            <sz val="10"/>
            <rFont val="Arial"/>
            <family val="2"/>
          </rPr>
          <t>Cuantos correos nuevos aparecen en 12 meses. Muchos correos nuevos = menor coherencia de identidad.</t>
        </r>
      </text>
    </comment>
    <comment ref="D55" authorId="0" shapeId="0" xr:uid="{00000000-0006-0000-0100-00001B000000}">
      <text>
        <r>
          <rPr>
            <sz val="10"/>
            <rFont val="Arial"/>
            <family val="2"/>
          </rPr>
          <t>Fecha desde la que se reporta su telefono/empleador estable. El Excel calcula los anos. Un contacto &gt; 3 anos da estabilidad.</t>
        </r>
      </text>
    </comment>
    <comment ref="D59" authorId="0" shapeId="0" xr:uid="{00000000-0006-0000-0100-00001C000000}">
      <text>
        <r>
          <rPr>
            <sz val="10"/>
            <rFont val="Arial"/>
            <family val="2"/>
          </rPr>
          <t>Solo semaforo de referencia (NO rechaza solo): &gt;=700 verde, 500-699 amarillo, &lt;500 rojo.</t>
        </r>
      </text>
    </comment>
    <comment ref="D61" authorId="0" shapeId="0" xr:uid="{00000000-0006-0000-0100-00001D000000}">
      <text>
        <r>
          <rPr>
            <sz val="10"/>
            <rFont val="Arial"/>
            <family val="2"/>
          </rPr>
          <t>Monto maximo que el modelo aprueba. Da el ajuste de Experiencia (&gt;=1M +3; 500K-1M +2; 200-500K +1).</t>
        </r>
      </text>
    </comment>
    <comment ref="D62" authorId="0" shapeId="0" xr:uid="{00000000-0006-0000-0100-00001E000000}">
      <text>
        <r>
          <rPr>
            <sz val="10"/>
            <rFont val="Arial"/>
            <family val="2"/>
          </rPr>
          <t xml:space="preserve">
Numero de personas a cargo (hijos, familia,etc.). Dato de Digiventure. Cada una descuenta 10% del neto (parametrizable en Reglas).</t>
        </r>
      </text>
    </comment>
    <comment ref="D63" authorId="0" shapeId="0" xr:uid="{00000000-0006-0000-0100-00001F000000}">
      <text>
        <r>
          <rPr>
            <sz val="10"/>
            <rFont val="Arial"/>
            <family val="2"/>
          </rPr>
          <t>Voluntad de pago. 0=no contesto,1=riesgo mas alto,...,7=riesgo mas bajo,8=no termino. (Ver equivalencia en Reglas).</t>
        </r>
      </text>
    </comment>
    <comment ref="D64" authorId="0" shapeId="0" xr:uid="{00000000-0006-0000-0100-000020000000}">
      <text>
        <r>
          <rPr>
            <sz val="10"/>
            <rFont val="Arial"/>
            <family val="2"/>
          </rPr>
          <t>Cotizante o regimen de excepcion suma; retirado resta. NO estar en BDUA puede ser regimen de excepcion (buen empleo formal, Policia, Militar Fuerzas Armadas, doc
ente), no penalice.</t>
        </r>
      </text>
    </comment>
    <comment ref="D65" authorId="0" shapeId="0" xr:uid="{00000000-0006-0000-0100-000021000000}">
      <text>
        <r>
          <rPr>
            <sz val="10"/>
            <rFont val="Arial"/>
            <family val="2"/>
          </rPr>
          <t>Solo suma (+2). No tener no resta. Verifique en RUNT por placa.</t>
        </r>
      </text>
    </comment>
    <comment ref="D66" authorId="0" shapeId="0" xr:uid="{00000000-0006-0000-0100-000022000000}">
      <text>
        <r>
          <rPr>
            <sz val="10"/>
            <rFont val="Arial"/>
            <family val="2"/>
          </rPr>
          <t xml:space="preserve">
Numero de personas a cargo (hijos, familia,etc.). Dato de Digiventure. Cada una descuenta 10% del neto (parametrizable en Reglas).</t>
        </r>
      </text>
    </comment>
    <comment ref="D67" authorId="0" shapeId="0" xr:uid="{00000000-0006-0000-0100-000023000000}">
      <text>
        <r>
          <rPr>
            <sz val="10"/>
            <rFont val="Arial"/>
            <family val="2"/>
          </rPr>
          <t>SI si en la originacion con Digiventure el cliente presento alguna novedad en la biometria/validacion. Genera condicion.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Finalco</author>
    <author>MacBook</author>
  </authors>
  <commentList>
    <comment ref="D11" authorId="0" shapeId="0" xr:uid="{00000000-0006-0000-0200-000001000000}">
      <text>
        <r>
          <rPr>
            <sz val="10"/>
            <rFont val="Arial"/>
            <family val="2"/>
          </rPr>
          <t>Base de ingreso segun Reglas: Conservador=MIN(declarado,QUANTO); Declarado; QUANTO.</t>
        </r>
      </text>
    </comment>
    <comment ref="D23" authorId="0" shapeId="0" xr:uid="{00000000-0006-0000-0200-000002000000}">
      <text>
        <r>
          <rPr>
            <sz val="10"/>
            <rFont val="Arial"/>
            <family val="2"/>
          </rPr>
          <t>PN &gt; Endeudamiento Actual, fila TOTAL, columna 'Valor Cuota'. Digite el numero en PESOS (el reporte viene en miles: 5.057 = 5.057.000).</t>
        </r>
      </text>
    </comment>
    <comment ref="D25" authorId="1" shapeId="0" xr:uid="{00000000-0006-0000-0200-000003000000}">
      <text>
        <r>
          <rPr>
            <sz val="10"/>
            <rFont val="Arial"/>
            <family val="2"/>
          </rPr>
          <t xml:space="preserve">El nano pesa al factor de Reglas (50%) porque se auto-liquida; el resto pesa 100%.
</t>
        </r>
      </text>
    </comment>
    <comment ref="D52" authorId="0" shapeId="0" xr:uid="{00000000-0006-0000-0200-000004000000}">
      <text>
        <r>
          <rPr>
            <sz val="10"/>
            <rFont val="Arial"/>
            <family val="2"/>
          </rPr>
          <t>Si dice NO -&gt; capacidad insuficiente. Segun Reglas (CAP_MODE) genera una CONDICION o pasa a Comite.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Finalco</author>
  </authors>
  <commentList>
    <comment ref="C34" authorId="0" shapeId="0" xr:uid="{00000000-0006-0000-0300-000001000000}">
      <text>
        <r>
          <rPr>
            <sz val="10"/>
            <rFont val="Arial"/>
            <family val="2"/>
          </rPr>
          <t>PN &gt; Endeudamiento Actual, fila TOTAL, columna '% Deuda' (saldo / valor o cupo inicial). Ej: 89.1% = casi lleno.</t>
        </r>
      </text>
    </comment>
    <comment ref="C35" authorId="0" shapeId="0" xr:uid="{00000000-0006-0000-0300-000002000000}">
      <text>
        <r>
          <rPr>
            <sz val="10"/>
            <rFont val="Arial"/>
            <family val="2"/>
          </rPr>
          <t>Automatico: cuota Finalco / TOTAL Valor Cuota del reporte. Mide si la cuota nueva es pequena vs lo que ya atiende.</t>
        </r>
      </text>
    </comment>
    <comment ref="C36" authorId="0" shapeId="0" xr:uid="{00000000-0006-0000-0300-000003000000}">
      <text>
        <r>
          <rPr>
            <sz val="10"/>
            <rFont val="Arial"/>
            <family val="2"/>
          </rPr>
          <t>PN &gt; Endeudamiento Actual, fila TOTAL, columna 'Saldo en Mora'. Es el dinero vencido HOY (no histórico).</t>
        </r>
      </text>
    </comment>
    <comment ref="C37" authorId="0" shapeId="0" xr:uid="{00000000-0006-0000-0300-000004000000}">
      <text>
        <r>
          <rPr>
            <sz val="10"/>
            <rFont val="Arial"/>
            <family val="2"/>
          </rPr>
          <t>PN &gt; RESUMEN Perfil General &gt; 'Creditos Vigentes' (Total Sectores). No incluye cuentas de ahorro.</t>
        </r>
      </text>
    </comment>
    <comment ref="C38" authorId="0" shapeId="0" xr:uid="{00000000-0006-0000-0300-000005000000}">
      <text>
        <r>
          <rPr>
            <sz val="10"/>
            <rFont val="Arial"/>
            <family val="2"/>
          </rPr>
          <t>Bajo uso de tarjetas = buen manejo y margen para emergencias. Tarjetas al tope = sin opciones (mas riesgo). Viene del % promedio de uso de TDC digitado en Captura Experian.</t>
        </r>
      </text>
    </comment>
    <comment ref="C42" authorId="0" shapeId="0" xr:uid="{00000000-0006-0000-0300-000006000000}">
      <text>
        <r>
          <rPr>
            <sz val="10"/>
            <rFont val="Arial"/>
            <family val="2"/>
          </rPr>
          <t>PN &gt; ANALISIS DE VECTORES. El vector usa codigos: N=al dia, 1=30d, 2=60d, 3=90d, 4=120d, 5=150d, 6=180d, D=dudoso, C=castigada. Tome el PEOR de los ultimos 6 meses (solo creditos).</t>
        </r>
      </text>
    </comment>
    <comment ref="C43" authorId="0" shapeId="0" xr:uid="{00000000-0006-0000-0300-000007000000}">
      <text>
        <r>
          <rPr>
            <sz val="10"/>
            <rFont val="Arial"/>
            <family val="2"/>
          </rPr>
          <t>PN &gt; HABITO DE PAGO ABIERTAS/VIGENTES &gt; 'Estado de la Obligacion'. AL DIA=pago oportuno; ESTA EN MORA XX=dias en mora; DUDOSO RECAUDO=+6 meses mora; CART. CASTIGADA=perdida.</t>
        </r>
      </text>
    </comment>
    <comment ref="C44" authorId="0" shapeId="0" xr:uid="{00000000-0006-0000-0300-000008000000}">
      <text>
        <r>
          <rPr>
            <sz val="10"/>
            <rFont val="Arial"/>
            <family val="2"/>
          </rPr>
          <t>PN &gt; HABITO DE PAGO CERRADAS/INACTIVAS &gt; 'Estado'. PAGO VOL=cerro voluntariamente bien; SALDADO=terminó de pagar bien; CAN. MAL MANEJO=cerro mal. Cuente el % de cierres buenos (Pago Vol + Saldado).</t>
        </r>
      </text>
    </comment>
    <comment ref="C45" authorId="0" shapeId="0" xr:uid="{00000000-0006-0000-0300-000009000000}">
      <text>
        <r>
          <rPr>
            <sz val="10"/>
            <rFont val="Arial"/>
            <family val="2"/>
          </rPr>
          <t>PN &gt; COMPORTAMIENTO DE PAGO EN DIAS. 0=sin atraso, numero(+)=dias de atraso, NP=no pagó la cuota del mes.</t>
        </r>
      </text>
    </comment>
    <comment ref="C46" authorId="0" shapeId="0" xr:uid="{00000000-0006-0000-0300-00000A000000}">
      <text>
        <r>
          <rPr>
            <sz val="10"/>
            <rFont val="Arial"/>
            <family val="2"/>
          </rPr>
          <t>PN &gt; RESUMEN &gt; 'Total Moras Maximas' (peor codigo del vector en 12 meses).</t>
        </r>
      </text>
    </comment>
    <comment ref="C47" authorId="0" shapeId="0" xr:uid="{00000000-0006-0000-0300-00000B000000}">
      <text>
        <r>
          <rPr>
            <sz val="10"/>
            <rFont val="Arial"/>
            <family val="2"/>
          </rPr>
          <t>PN &gt; RESUMEN Tendencia de Endeudamiento &gt; 'Saldo Deuda Total en Mora' (12 meses). Mire si sube, baja o esta en cero.</t>
        </r>
      </text>
    </comment>
    <comment ref="C48" authorId="0" shapeId="0" xr:uid="{00000000-0006-0000-0300-00000C000000}">
      <text>
        <r>
          <rPr>
            <sz val="10"/>
            <rFont val="Arial"/>
            <family val="2"/>
          </rPr>
          <t>PN &gt; Endeudamiento Actual &gt; columna 'Calf'. A=riesgo normal/al dia; B=aceptable; C=apreciable; D=significativo; E=incobrable. (Aplica solo a creditos del sector financiero.)</t>
        </r>
      </text>
    </comment>
    <comment ref="C49" authorId="0" shapeId="0" xr:uid="{00000000-0006-0000-0300-00000D000000}">
      <text>
        <r>
          <rPr>
            <sz val="10"/>
            <rFont val="Arial"/>
            <family val="2"/>
          </rPr>
          <t>PN &gt; RESUMEN Perfil General &gt; 'Antiguedad desde' (fecha del credito mas antiguo). El Excel calcula los años. Si no tiene experiencia financiera, vale la del sector real o telcos (Fecha apertura).</t>
        </r>
      </text>
    </comment>
    <comment ref="C54" authorId="0" shapeId="0" xr:uid="{00000000-0006-0000-0300-00000E000000}">
      <text>
        <r>
          <rPr>
            <sz val="10"/>
            <rFont val="Arial"/>
            <family val="2"/>
          </rPr>
          <t>Automatico desde 'Flujo Empleado' (capacidad nano). Verde = positivo y cubre colchon de imprevistos.</t>
        </r>
      </text>
    </comment>
    <comment ref="C55" authorId="0" shapeId="0" xr:uid="{00000000-0006-0000-0300-00000F000000}">
      <text>
        <r>
          <rPr>
            <sz val="10"/>
            <rFont val="Arial"/>
            <family val="2"/>
          </rPr>
          <t>Automatico desde 'Flujo Empleado'. La cuota nueva no deberia superar el 30% del ingreso neto.</t>
        </r>
      </text>
    </comment>
    <comment ref="C56" authorId="0" shapeId="0" xr:uid="{00000000-0006-0000-0300-000010000000}">
      <text>
        <r>
          <rPr>
            <sz val="10"/>
            <rFont val="Arial"/>
            <family val="2"/>
          </rPr>
          <t>Automatico desde 'Flujo Empleado'. Usa la deuda servida (normal 100% / nano 50%).</t>
        </r>
      </text>
    </comment>
    <comment ref="C57" authorId="0" shapeId="0" xr:uid="{00000000-0006-0000-0300-000011000000}">
      <text>
        <r>
          <rPr>
            <sz val="10"/>
            <rFont val="Arial"/>
            <family val="2"/>
          </rPr>
          <t>Automatico. Si lo declarado es muy superior al QUANTO del modelo, hay que validar el ingreso.</t>
        </r>
      </text>
    </comment>
    <comment ref="C62" authorId="0" shapeId="0" xr:uid="{00000000-0006-0000-0300-000012000000}">
      <text>
        <r>
          <rPr>
            <sz val="10"/>
            <rFont val="Arial"/>
            <family val="2"/>
          </rPr>
          <t>PN &gt; Fin de Consulta 'Tipo': TIPO 1=apellido coincide y hay info (OK); TIPO 5=sin info; TIPO 6=apellido NO coincide; TIPO 7=cedula no existe. Mas correos nuevos en 12m = menor coherencia.</t>
        </r>
      </text>
    </comment>
    <comment ref="C63" authorId="0" shapeId="0" xr:uid="{00000000-0006-0000-0300-000013000000}">
      <text>
        <r>
          <rPr>
            <sz val="10"/>
            <rFont val="Arial"/>
            <family val="2"/>
          </rPr>
          <t>PN &gt; RECONOCER+ &gt; Direccion: cuente los DEPARTAMENTOS distintos (no las mudanzas dentro del mismo).</t>
        </r>
      </text>
    </comment>
    <comment ref="C64" authorId="0" shapeId="0" xr:uid="{00000000-0006-0000-0300-000014000000}">
      <text>
        <r>
          <rPr>
            <sz val="10"/>
            <rFont val="Arial"/>
            <family val="2"/>
          </rPr>
          <t>PN: cuente cuentas activas, digitales (Nequi/Daviplata/Dale) y tradicionales (ahorro/corriente AHO-CCB).</t>
        </r>
      </text>
    </comment>
    <comment ref="C65" authorId="0" shapeId="0" xr:uid="{00000000-0006-0000-0300-000015000000}">
      <text>
        <r>
          <rPr>
            <sz val="10"/>
            <rFont val="Arial"/>
            <family val="2"/>
          </rPr>
          <t>PN &gt; Informacion Basica 'Tiene RUT?' y RECONOCER+ antiguedad del contacto. Aplica sobre todo a independientes.</t>
        </r>
      </text>
    </comment>
    <comment ref="C66" authorId="0" shapeId="0" xr:uid="{00000000-0006-0000-0300-000016000000}">
      <text>
        <r>
          <rPr>
            <sz val="10"/>
            <rFont val="Arial"/>
            <family val="2"/>
          </rPr>
          <t>PN &gt; HISTORICO DE CONSULTAS: cuente entidades en 30 dias (excluya CIUDADANO y CONSULTAS LOTE). Muchas consultas = busca crédito en varios lados.</t>
        </r>
      </text>
    </comment>
    <comment ref="C113" authorId="0" shapeId="0" xr:uid="{00000000-0006-0000-0300-000017000000}">
      <text>
        <r>
          <rPr>
            <sz val="10"/>
            <rFont val="Arial"/>
            <family val="2"/>
          </rPr>
          <t>Para copiar este parrafo a otro aplicativo: haga clic UNA vez sobre la celda, Ctrl+C y pegue en el destino (correo, CRM, web): se pega como texto plano. Si el destino es otro Excel, use Pegado especial &gt; Valores.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tc={01194A59-06DA-4DC8-B7F5-CDF77A280F33}</author>
    <author>tc={B2750E12-A6E8-447A-BF40-A8C8B00354B6}</author>
    <author>tc={CF0BE1DB-AC65-418D-B05C-7E7FD9EFFEFC}</author>
    <author>tc={9BEAB1CF-B0EE-41A9-9C03-64BF6592EDC1}</author>
    <author>tc={33DF8C03-0594-460F-A272-33EF42E7398D}</author>
    <author>tc={8ECA683F-7ADD-4001-B057-6B9DA0CC7C44}</author>
    <author>tc={159544C7-1E6B-496A-AAF1-F11913B8795F}</author>
  </authors>
  <commentList>
    <comment ref="B16" authorId="0" shapeId="0" xr:uid="{00000000-0006-0000-07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El interés aplicado al crédito, es de acuerdo al cambio informado por las autoridades nacionales (superintendencia financiera de colombia). Las cuales certifican la tasa maxima que puede ser cobrada en el mes.</t>
        </r>
      </text>
    </comment>
    <comment ref="B17" authorId="1" shapeId="0" xr:uid="{00000000-0006-0000-07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Póliza de aseguramiento sobre el valor del crédito, en caso de muerte o invalidez total del titular.</t>
        </r>
      </text>
    </comment>
    <comment ref="B18" authorId="2" shapeId="0" xr:uid="{00000000-0006-0000-0700-000003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fondo de cobertura, entidad que avala y representa garantías para el pago de tu préstamo. Este valor incluye IVA.</t>
        </r>
      </text>
    </comment>
    <comment ref="B19" authorId="3" shapeId="0" xr:uid="{00000000-0006-0000-0700-000004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Cargo aplicado a la instrumentación digital del prestamo. Incluye IVA</t>
        </r>
      </text>
    </comment>
    <comment ref="B20" authorId="4" shapeId="0" xr:uid="{00000000-0006-0000-0700-000005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Tarifa asociada a la creación y  mantenimiento de tu prestamo, la cual se suma al valor capital del crédito.</t>
        </r>
      </text>
    </comment>
    <comment ref="B21" authorId="5" shapeId="0" xr:uid="{00000000-0006-0000-0700-000006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Finalco busca promoveer el uso de herramientas tecnologicas que facilitan el acceso de crédito a personas. Por lo cual se genera esta bonificación de inclusión financiera.</t>
        </r>
      </text>
    </comment>
    <comment ref="B22" authorId="6" shapeId="0" xr:uid="{00000000-0006-0000-0700-000007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valor corresponde a una simulación de tu crédito, según los datos seleccionados por ti.</t>
        </r>
      </text>
    </comment>
  </commentList>
</comments>
</file>

<file path=xl/sharedStrings.xml><?xml version="1.0" encoding="utf-8"?>
<sst xmlns="http://schemas.openxmlformats.org/spreadsheetml/2006/main" count="880" uniqueCount="803">
  <si>
    <t xml:space="preserve">TABLA DE AMORTIZACION DE CREDITOS CON CUOTAS FIJAS </t>
  </si>
  <si>
    <t>FINAMIGO</t>
  </si>
  <si>
    <t>DIGITE LA INFORMACIÓN</t>
  </si>
  <si>
    <t>CONVERSIÓN DE TASAS</t>
  </si>
  <si>
    <t xml:space="preserve">Solicitante: </t>
  </si>
  <si>
    <t>FIANZA</t>
  </si>
  <si>
    <t>Libre Destino</t>
  </si>
  <si>
    <t>Valor del Crédito</t>
  </si>
  <si>
    <t>Efectiva Anual:</t>
  </si>
  <si>
    <t>Cédula:</t>
  </si>
  <si>
    <t>Modalidad</t>
  </si>
  <si>
    <t>Bajo Monto</t>
  </si>
  <si>
    <t>Tasa (mensual):</t>
  </si>
  <si>
    <t>EMV:</t>
  </si>
  <si>
    <t>Destino Crédito:</t>
  </si>
  <si>
    <t>Mensual</t>
  </si>
  <si>
    <t>Libranza</t>
  </si>
  <si>
    <t>Tiempo (meses):</t>
  </si>
  <si>
    <t>ETV:</t>
  </si>
  <si>
    <t>Entidad Trabajo:</t>
  </si>
  <si>
    <t>Nivel de Riesgo</t>
  </si>
  <si>
    <t>Fechas pago del crédito</t>
  </si>
  <si>
    <t>ETA:</t>
  </si>
  <si>
    <t>Cargo:</t>
  </si>
  <si>
    <t>Día</t>
  </si>
  <si>
    <t>Mes</t>
  </si>
  <si>
    <t>Año</t>
  </si>
  <si>
    <t>Nom Anual</t>
  </si>
  <si>
    <t>Linea de crédito</t>
  </si>
  <si>
    <t xml:space="preserve">TABLA DE AMORTIZACION CUOTA FIJA </t>
  </si>
  <si>
    <t>MONTO DEL CREDITO</t>
  </si>
  <si>
    <t>Solicitado</t>
  </si>
  <si>
    <t>Aprobado</t>
  </si>
  <si>
    <t>Cuota</t>
  </si>
  <si>
    <t>Fecha de vencimiento</t>
  </si>
  <si>
    <t>Saldo capital</t>
  </si>
  <si>
    <t>Abono capital</t>
  </si>
  <si>
    <t>Intereses</t>
  </si>
  <si>
    <t>Vida Deudores</t>
  </si>
  <si>
    <t>Fianza</t>
  </si>
  <si>
    <t>TOTAL</t>
  </si>
  <si>
    <t>CAPTURA EXPERIAN  ·  digite lo que ve en el PDF (PN + Preselecta) , otros documentos o sistemas de informacion</t>
  </si>
  <si>
    <t>AMARILLO = usted digita · GRIS = automatico. PRIMERO diligencie SOLO el PASO 1 (pre-filtro): si da NEGAR, registre la decision y NO diligencie el resto.</t>
  </si>
  <si>
    <t>PASO 1 · PRE-FILTRO RAPIDO DE NEGACION  ·  PN pagina 1 + Preselecta pagina 1  ·  diligencie SOLO esto primero</t>
  </si>
  <si>
    <t>Tipo de credito (solicitud Finalco)</t>
  </si>
  <si>
    <t>Renovacion</t>
  </si>
  <si>
    <t>Solicitud interna / conocimiento del cliente</t>
  </si>
  <si>
    <t>Estado del Documento</t>
  </si>
  <si>
    <t>PN pag.1 &gt; INFORMACION BASICA &gt; Estado Documento</t>
  </si>
  <si>
    <t>Tipo de respuesta de la consulta (1/5/6/7)</t>
  </si>
  <si>
    <t>PN ULTIMA pag. &gt; Fin-consulta Tipo (una mirada rapida)</t>
  </si>
  <si>
    <t>Creditos Vigentes (Total Sectores)</t>
  </si>
  <si>
    <t>PN pag.1 &gt; RESUMEN &gt; Creditos Vigentes &gt; Total Sectores</t>
  </si>
  <si>
    <t>Creditos Cerrados (Total Sectores)</t>
  </si>
  <si>
    <t>PN pag.1 &gt; RESUMEN &gt; Creditos Cerrados &gt; Total Sectores</t>
  </si>
  <si>
    <t>¿La experiencia es SOLO telco? (Financiero/Coop/Real todo en 0)</t>
  </si>
  <si>
    <t>PN pag.1 &gt; RESUMEN: columnas por sector</t>
  </si>
  <si>
    <t xml:space="preserve">  -&gt; Experiencia crediticia (automatico)</t>
  </si>
  <si>
    <t>Saldo en Mora TOTAL hoy (PESOS)</t>
  </si>
  <si>
    <t>PN pag.1 &gt; Endeudamiento Actual TOTAL &gt; Saldo en Mora (o Tendencia, mes mas reciente x1000)</t>
  </si>
  <si>
    <t>Peor mora ACTUAL (Total Moras Maximas, columna mas reciente: N/1/2/3/4/C/D)</t>
  </si>
  <si>
    <t>PN pag.1 &gt; Tendencia de endeudamiento &gt; Total Moras Maximas, 1a columna</t>
  </si>
  <si>
    <t>Num. creditos con mora &gt;= 60 dias (vigente)</t>
  </si>
  <si>
    <t>PN pag.1 &gt; Tendencia &gt; Num creditos con mora &gt;= 60, columna mas reciente</t>
  </si>
  <si>
    <t>¿Cartera castigada o dudoso recaudo VIGENTE? (Solo telco = castigo unicamente en sector telcos)</t>
  </si>
  <si>
    <t>PN pag.1 &gt; Endeudamiento Actual &gt; Estado/Calf. Si el castigo esta unicamente en Sector Telcos elija "Solo telco" (tipico: saldo de celular o suplantacion; se analiza aparte, no niega)</t>
  </si>
  <si>
    <t># de obligaciones EN MORA hoy</t>
  </si>
  <si>
    <t>PN pag.1 &gt; Endeudamiento Actual: cuente las filas con Saldo en Mora &gt; 0</t>
  </si>
  <si>
    <t>Decision Preselecta</t>
  </si>
  <si>
    <t>Preselecta pag.1 &gt; Decision (Aprobado/Rechazado)</t>
  </si>
  <si>
    <t>RESULTADO PRE-FILTRO</t>
  </si>
  <si>
    <t>sin experiencia?</t>
  </si>
  <si>
    <t xml:space="preserve">  -&gt; Motivos / notas</t>
  </si>
  <si>
    <t>ruta nuevo (solo telco)?</t>
  </si>
  <si>
    <t>castigada niega?</t>
  </si>
  <si>
    <t>mora evidente niega?</t>
  </si>
  <si>
    <t>PASO 2 · IDENTIFICACION  (PN pag.1 arriba)  ·  SOLO si el pre-filtro dice CONTINUE</t>
  </si>
  <si>
    <t>tope $250K?</t>
  </si>
  <si>
    <t>Fecha de nacimiento (DD/MM/AAAA)</t>
  </si>
  <si>
    <t>Digitarla desde la cedula</t>
  </si>
  <si>
    <t xml:space="preserve">  -&gt; Edad calculada (años)</t>
  </si>
  <si>
    <t>Tiene RUT?</t>
  </si>
  <si>
    <t>PN pag.1 &gt; INFORMACION BASICA &gt; Tiene RUT?</t>
  </si>
  <si>
    <t>PASO 3 · RESUMEN, ENDEUDAMIENTO Y TENDENCIA  (PN pag.1)</t>
  </si>
  <si>
    <t>Año del credito mas antiguo (ej 2002)</t>
  </si>
  <si>
    <t>PN pag.1 &gt; RESUMEN &gt; Antiguedad desde</t>
  </si>
  <si>
    <t xml:space="preserve">  -&gt; Años de historial</t>
  </si>
  <si>
    <t>% Deuda TOTAL (Saldo/Cupo)</t>
  </si>
  <si>
    <t>PN pag.1 &gt; Endeudamiento Actual TOTAL &gt; % Deuda</t>
  </si>
  <si>
    <t>Valor Cuota TOTAL del reporte (PESOS)</t>
  </si>
  <si>
    <t>PN pag.1 &gt; Endeudamiento Actual TOTAL &gt; Valor Cuota (sin TDC)</t>
  </si>
  <si>
    <t>De esa cuota, ¿cuanto es de NANOCREDITOS? ($)</t>
  </si>
  <si>
    <t>PN pag.1 &gt; Endeudamiento Actual: sumar cuotas de nanocreditos (&lt;= $800K)</t>
  </si>
  <si>
    <t>De esa cuota, ¿cuanto es de Tarjetas de credito? ($)</t>
  </si>
  <si>
    <t>PN pag.1 &gt; Endeudamiento Actual: sumar cuotas solo de TDC</t>
  </si>
  <si>
    <t>% promedio de uso de las TDC (Saldo/Cupo)</t>
  </si>
  <si>
    <t>PN pag.1 &gt; Endeudamiento Actual: % Deuda solo de las TDC (promedio)</t>
  </si>
  <si>
    <t>Calificacion entidades (A/AB/C/DE)</t>
  </si>
  <si>
    <t>PN pag.1 &gt; Endeudamiento Actual &gt; columna Calf</t>
  </si>
  <si>
    <t>Consultas de ENTIDADES en 6 meses (EXCLUYA "CIUDADANO" y "CONSULTAS LOTE")</t>
  </si>
  <si>
    <t>PN pag.1 RESUMEN &gt; Consultas 6m y pag.4 Historico: reste las consultas hechas por el mismo cliente (CIUDADANO) y las CONSULTAS LOTE de entidades</t>
  </si>
  <si>
    <t>Peor mora maxima en 12 meses (N/1/2/3/4/C/D)</t>
  </si>
  <si>
    <t>PN pag.1 &gt; Tendencia &gt; Total Moras Maximas (toda la fila)</t>
  </si>
  <si>
    <t>Tendencia de la mora 12m</t>
  </si>
  <si>
    <t>PN pag.1 &gt; Tendencia &gt; Saldo Deuda Total en Mora (en miles)</t>
  </si>
  <si>
    <t>PASO 4 · HABITO DE PAGO Y VECTORES  (PN pags. 2-3)</t>
  </si>
  <si>
    <t>Estado de obligaciones vigentes</t>
  </si>
  <si>
    <t>PN pags.1-2 &gt; Habito Pago Abiertas/Vigentes &gt; Estado</t>
  </si>
  <si>
    <t>¿Cuantas cuentas activas con MAS de 1 año tiene? (anti-suplantacion)</t>
  </si>
  <si>
    <t>PN pags.1-2 &gt; Habito Abiertas: cuente cuentas AHO/AHD/CTE con fecha de apertura mayor a 12 meses</t>
  </si>
  <si>
    <t>Fecha de apertura de la cuenta de desembolso (DD/MM/AAAA)</t>
  </si>
  <si>
    <t>PN pags.1-2 &gt; Habito: cuenta (AHO/CTE/BILLETERA) que el cliente puso en Digiventure</t>
  </si>
  <si>
    <t xml:space="preserve">  -&gt; Antiguedad de la cuenta (meses)</t>
  </si>
  <si>
    <t>Patron de cierres (creditos cerrados)</t>
  </si>
  <si>
    <t>PN pag.3 &gt; Habito Pago Cerradas o Inactivos &gt; Estado</t>
  </si>
  <si>
    <t>Peor mora del vector en ULTIMOS 6 meses (N/1/2/3/4/C/D)</t>
  </si>
  <si>
    <t>PN pag.3 &gt; ANALISIS DE VECTORES &gt; Total Sectores &gt; Moras Maximas</t>
  </si>
  <si>
    <t>RUTA NUEVO · Comportamiento de pago TELCO (solo si experiencia SOLO telco)</t>
  </si>
  <si>
    <t>PN pag.3 &gt; Vectores sector TELECOMUNICACIONES</t>
  </si>
  <si>
    <t>Puntualidad (dias de atraso / prepago)</t>
  </si>
  <si>
    <t>PN pags.4-5 &gt; HC &gt; Comportamiento de pago en dias (parte baja)</t>
  </si>
  <si>
    <t>PASO 5 · CONSULTAS Y RECONOCER+  (PN pags. 4-5)</t>
  </si>
  <si>
    <t>Entidades distintas que consultaron en 30 dias</t>
  </si>
  <si>
    <t>PN pag.4 &gt; Historico de Consultas (30 dias) (excluya CIUDADANO y CONSULTAS LOTE)</t>
  </si>
  <si>
    <t>¿Alguna consulta reciente ya se volvio credito?</t>
  </si>
  <si>
    <t>Cruce consultas vs obligaciones abiertas</t>
  </si>
  <si>
    <t>Departamentos distintos (Reconocer+)</t>
  </si>
  <si>
    <t>PN pag.5 &gt; RECONOCER+ &gt; Direccion</t>
  </si>
  <si>
    <t>Correos nuevos en 12 meses</t>
  </si>
  <si>
    <t>PN pag.5 &gt; RECONOCER+ &gt; Correo</t>
  </si>
  <si>
    <t>Fecha residencia/laboral mas antigua (DD/MM/AAAA)</t>
  </si>
  <si>
    <t>PN pag.5 &gt; RECONOCER+ &gt; RES-LAB-CRR: Reportado Desde (cualquier dia)</t>
  </si>
  <si>
    <t xml:space="preserve">  -&gt; Antiguedad del contacto (años)</t>
  </si>
  <si>
    <t>PASO 6 · PRESELECTA (pags. 1 y 3) Y OTROS SISTEMAS</t>
  </si>
  <si>
    <t>Puntaje en centrales de riesgo (Score / Acierta Mas)</t>
  </si>
  <si>
    <t>Preselecta pag.1 &gt; Scores &gt; Acierta Mas (o Score Datacredito)</t>
  </si>
  <si>
    <t>QUANTO ingreso medio</t>
  </si>
  <si>
    <t>Preselecta pag.1 &gt; Quanto3 Valor Medio</t>
  </si>
  <si>
    <t>Monto maximo aprobado (Preselecta)</t>
  </si>
  <si>
    <t>Preselecta pag.3 &gt; MONTO_MAXIMO_APROBADO</t>
  </si>
  <si>
    <t>Ingreso Reportado cliente</t>
  </si>
  <si>
    <t>Digiventure</t>
  </si>
  <si>
    <t>Puntaje Begini (0-8)</t>
  </si>
  <si>
    <t>Reporte Begini</t>
  </si>
  <si>
    <t>Estado seguridad social (ADRES)</t>
  </si>
  <si>
    <t>ADRES BDUA</t>
  </si>
  <si>
    <t>Patrimonio / vehiculo a su nombre</t>
  </si>
  <si>
    <t>RUNT + Fasecolda</t>
  </si>
  <si>
    <t># personas a cargo (hijos + familiares)</t>
  </si>
  <si>
    <t>¿Novedad en biometria de Digiventure?</t>
  </si>
  <si>
    <t>Proceso de biometria o cedula</t>
  </si>
  <si>
    <t>LEYENDA:</t>
  </si>
  <si>
    <t>Amarillo = usted digita</t>
  </si>
  <si>
    <t xml:space="preserve">Gris = automatico   |   Verde = informacion de otra hoja </t>
  </si>
  <si>
    <t xml:space="preserve"> ANALISIS FINANCIERO PAGO DE CREDITOS</t>
  </si>
  <si>
    <t>Asalariado / Independiente</t>
  </si>
  <si>
    <t xml:space="preserve">AMARILLO = usted digita· GRIS = calculo automatico - no tocar.  </t>
  </si>
  <si>
    <t>Solicitante</t>
  </si>
  <si>
    <t>C.C No.</t>
  </si>
  <si>
    <t>Estado de Ingresos y Resultados</t>
  </si>
  <si>
    <t>Valor</t>
  </si>
  <si>
    <t>% Partc</t>
  </si>
  <si>
    <t>Entradas Mensuales</t>
  </si>
  <si>
    <t>Ingresos Brutos (salario, pensión, contratos)</t>
  </si>
  <si>
    <t>Comisiones, Rodamiento, Bonificaciones</t>
  </si>
  <si>
    <t>Arriendos</t>
  </si>
  <si>
    <t>Rendimientos Financieros</t>
  </si>
  <si>
    <t>Otros ingresos</t>
  </si>
  <si>
    <t>TOTAL INGRESOS</t>
  </si>
  <si>
    <t>Descuentos de Ley</t>
  </si>
  <si>
    <t>TOTAL INGRESOS NETOS</t>
  </si>
  <si>
    <t>Salidas Mensuales</t>
  </si>
  <si>
    <t>Gastos de sostenimiento</t>
  </si>
  <si>
    <t>Arrendamientos</t>
  </si>
  <si>
    <t>Manutención hijos (10% salario c/u)</t>
  </si>
  <si>
    <t>TOTAL Valor Cuota del reporte sin TDC (Datacredito)</t>
  </si>
  <si>
    <t>Cuotas tarjetas de credito (TDC)</t>
  </si>
  <si>
    <t xml:space="preserve">TOTAL Valor Cuota Ajustada Factor Nano </t>
  </si>
  <si>
    <t>Cuotas deudas particulares</t>
  </si>
  <si>
    <t>Otros Gastos</t>
  </si>
  <si>
    <t>TOTAL GASTOS</t>
  </si>
  <si>
    <t>Indicadores de análisis</t>
  </si>
  <si>
    <t>Monto del crédito Solicitado</t>
  </si>
  <si>
    <t>Información</t>
  </si>
  <si>
    <t>Monto del crédito Aprobado</t>
  </si>
  <si>
    <t>del crédito</t>
  </si>
  <si>
    <t>Plazo</t>
  </si>
  <si>
    <t>Tasa de interés efectiva anual</t>
  </si>
  <si>
    <t>Tasa de interés efectiva mensual</t>
  </si>
  <si>
    <t>Dinero disponible del solicitante una vez deducido sus gastos actuales</t>
  </si>
  <si>
    <t xml:space="preserve">Cuota Finalco mensual a pagar </t>
  </si>
  <si>
    <t>Dinero disponible una vez pagado credito Finalco</t>
  </si>
  <si>
    <t>Colchon de imprevistos</t>
  </si>
  <si>
    <t>Relación de la cuota vs el dinero disponible.</t>
  </si>
  <si>
    <t>Nuevo crédito aprobado vs Patrimonio</t>
  </si>
  <si>
    <t>Indicadores</t>
  </si>
  <si>
    <t>Total cuotas actuales vs ingresos neto</t>
  </si>
  <si>
    <t>Relación cuota vs ingresos (Cuota mensual finalco / Ingresos Netos)</t>
  </si>
  <si>
    <t>Disponible (vision estricta, cuota 100%)</t>
  </si>
  <si>
    <t>Disponible antes de Finalco (nano-ajustado)</t>
  </si>
  <si>
    <t>Disponible TRAS cuota Finalco (nano-ajustado)</t>
  </si>
  <si>
    <t>Relacion (deuda servida + nueva) / neto</t>
  </si>
  <si>
    <t>Relacion declarado / QUANTO</t>
  </si>
  <si>
    <t>Cuota Finalco / total cuotas del reporte</t>
  </si>
  <si>
    <t>Total cuotas actuales + Nueva cuota Finalco vs Ingresos netos</t>
  </si>
  <si>
    <t>CAPACIDAD SUFICIENTE (nano)</t>
  </si>
  <si>
    <t>FINALCO · MOTOR DE DECISION NANOCREDITO FINAMIGO</t>
  </si>
  <si>
    <t>Si la pestaña Captura Experian esta bien diligenciada, aqui ya aparece la respuesta definitiva. Solo ajuste manualmente si discrepa. Las desviaciones se resaltan en rojo.</t>
  </si>
  <si>
    <t>1 · DATOS DE LA SOLICITUD</t>
  </si>
  <si>
    <t>Nombre del solicitante</t>
  </si>
  <si>
    <t>Cedula</t>
  </si>
  <si>
    <t>Nombre del analista de credito</t>
  </si>
  <si>
    <t>Valeria Bohorquez</t>
  </si>
  <si>
    <t>Tipo de credito</t>
  </si>
  <si>
    <t>Fecha del analisis (DD/MM/AAAA)</t>
  </si>
  <si>
    <t>Destino del credito</t>
  </si>
  <si>
    <t>Monto solicitado</t>
  </si>
  <si>
    <t>2 · INDICADORES COMPLEMENTARIOS (referencia · NO rechazan solos)</t>
  </si>
  <si>
    <t>Puntaje en centrales de riesgo</t>
  </si>
  <si>
    <t>Puntaje Begini (voluntad de pago)</t>
  </si>
  <si>
    <t>3 · RECHAZO TECNICO (duros = rechazo) y ALERTAS (preguntas SI/NO)</t>
  </si>
  <si>
    <t>¿El documento NO esta vigente (fallecido/cancelado/suspendido)?</t>
  </si>
  <si>
    <t>Captura: Estado del Documento</t>
  </si>
  <si>
    <t>¿La consulta es Tipo 5, 6 o 7 (no valida / apellido no coincide)?</t>
  </si>
  <si>
    <t>Captura: Tipo de respuesta</t>
  </si>
  <si>
    <t>¿Castigada/dudoso vigente con saldo sobre el umbral? (bajo el umbral continua con tope $250K)</t>
  </si>
  <si>
    <t>NO</t>
  </si>
  <si>
    <t>Pre-filtro Captura: castigada/dudoso niega solo si saldo &gt; Reglas B23; menor cuantia continua con tope Reglas B46</t>
  </si>
  <si>
    <t>¿Mora evidente superior? (&gt;$400K o 2+ oblig. mora 60+, sin excepciones)</t>
  </si>
  <si>
    <t>Pre-filtro Captura: mora evidente (excepciones: mora unica / renovacion / mora &lt;= 60 dias bajo el umbral)</t>
  </si>
  <si>
    <t>¿Tiene cobro juridico o prejudicial activo?</t>
  </si>
  <si>
    <t>Experian: Adjetivo-fecha (Cobro Juridico)</t>
  </si>
  <si>
    <t>¿Hay alerta de suplantacion o robo de cedula?</t>
  </si>
  <si>
    <t>Experian: Alertas/Desacuerdos (Suplantacion) o novedad biometria Digiventure</t>
  </si>
  <si>
    <t>!</t>
  </si>
  <si>
    <t>ALERTA: ¿Alcanzo el tope de endeudamiento microcredito (Dec.919/2008)?</t>
  </si>
  <si>
    <t>Experian: seccion Alertas</t>
  </si>
  <si>
    <t>ALERTA: ¿Hay informacion judicial negativa (p.ej. deudor alimentario)?</t>
  </si>
  <si>
    <t>Experian: Comentarios/Desacuerdos</t>
  </si>
  <si>
    <t>ALERTA: ¿La capacidad de pago es insuficiente? (automatico)</t>
  </si>
  <si>
    <t>Automatico desde Flujo Empleado</t>
  </si>
  <si>
    <t>ALERTA: ¿Tiene demasiadas consultas (posible sobreendeudamiento)?</t>
  </si>
  <si>
    <t>Captura: consultas de entidades 6m (ya excluye CIUDADANO y LOTE)</t>
  </si>
  <si>
    <t>RESULTADO RECHAZO TECNICO</t>
  </si>
  <si>
    <t>4 · PUNTAJE POR EJES (resultado automatico · ajuste manual opcional)</t>
  </si>
  <si>
    <t>EJE CAPACIDAD  (peso 30, editable en Reglas)</t>
  </si>
  <si>
    <t>Componente (pregunta)</t>
  </si>
  <si>
    <t>Resultado automatico</t>
  </si>
  <si>
    <t>Ajuste manual (opcional)</t>
  </si>
  <si>
    <t>Pts</t>
  </si>
  <si>
    <t>Max</t>
  </si>
  <si>
    <t>Uso del cupo: ¿que % del cupo total tiene ya usado? (Saldo/Cupo)</t>
  </si>
  <si>
    <t>Holgura: la cuota nueva Finalco ¿que tan grande es frente a lo que ya paga al dia?</t>
  </si>
  <si>
    <t>Mora hoy: ¿cuanto debe en mora en este momento? (saldo en mora total)</t>
  </si>
  <si>
    <t>Carga: ¿cuantos creditos vigentes tiene al tiempo?</t>
  </si>
  <si>
    <t>Tarjetas de credito (TDC): ¿que % del cupo de sus tarjetas usa?</t>
  </si>
  <si>
    <t xml:space="preserve">  Subtotal CAPACIDAD</t>
  </si>
  <si>
    <t>EJE COMPORTAMIENTO  (peso 30, editable en Reglas)</t>
  </si>
  <si>
    <t>Comportamiento reciente: peor mora del vector en los ULTIMOS 6 MESES</t>
  </si>
  <si>
    <t>Estado actual: ¿como estan HOY sus obligaciones vigentes?</t>
  </si>
  <si>
    <t>Cierres pasados: ¿como cerro los creditos que ya termino?</t>
  </si>
  <si>
    <t>Puntualidad: ¿paga a tiempo? (dias de atraso / prepago)</t>
  </si>
  <si>
    <t>Peor mora en 12 meses: ¿hasta donde llego en el ultimo año?</t>
  </si>
  <si>
    <t>Tendencia de la mora: ¿como evoluciona su saldo en mora mes a mes?</t>
  </si>
  <si>
    <t>Calificacion (Calf A-E) de las entidades</t>
  </si>
  <si>
    <t>Experiencia: profundidad del historial crediticio (en AÑOS)</t>
  </si>
  <si>
    <t xml:space="preserve">  Subtotal COMPORTAMIENTO</t>
  </si>
  <si>
    <t>EJE FLUJO  (peso 20, editable en Reglas)</t>
  </si>
  <si>
    <t>Disponible: ¿le queda dinero despues de pagar la cuota Finalco?</t>
  </si>
  <si>
    <t>Peso de la cuota: cuota Finalco / ingreso neto (ideal &lt; 30%)</t>
  </si>
  <si>
    <t>Carga total: (deuda servida + cuota nueva) / ingreso neto</t>
  </si>
  <si>
    <t>Coherencia de ingreso: declarado vs QUANTO (Preselecta)</t>
  </si>
  <si>
    <t xml:space="preserve">  Subtotal FLUJO</t>
  </si>
  <si>
    <t>EJE ENTORNO  (peso 8, editable en Reglas)</t>
  </si>
  <si>
    <t>Identidad: ¿la consulta es valida y consistente? (Tipo + correos nuevos)</t>
  </si>
  <si>
    <t>Arraigo: ¿en cuantos departamentos ha rotado su ubicacion?</t>
  </si>
  <si>
    <t>Bancarizacion: ¿tiene cuentas activas con MAS de 1 año? (anti-suplantacion)</t>
  </si>
  <si>
    <t>Formalidad: ¿tiene RUT o un contacto/empleador estable (&gt; 3 años)?</t>
  </si>
  <si>
    <t>Apetito de credito: entidades distintas que lo consultaron en 30 dias</t>
  </si>
  <si>
    <t xml:space="preserve">  Subtotal ENTORNO</t>
  </si>
  <si>
    <t>5 · RESULTADO DE LA DECISION</t>
  </si>
  <si>
    <t>Puntaje base (4 ejes, normalizado a 100)</t>
  </si>
  <si>
    <t>Ajuste Begini</t>
  </si>
  <si>
    <t>Ajuste ADRES</t>
  </si>
  <si>
    <t>Ajuste Patrimonio</t>
  </si>
  <si>
    <t>Ajuste Experiencia (Preselecta)</t>
  </si>
  <si>
    <t>PUNTAJE FINAL</t>
  </si>
  <si>
    <t>BANDA</t>
  </si>
  <si>
    <t>CONDICIONES ACTIVAS (si aplica):</t>
  </si>
  <si>
    <t>DECISION</t>
  </si>
  <si>
    <t>MONTO SUGERIDO</t>
  </si>
  <si>
    <t>MAX(200K; MIN(tope banda; tope capacidad; 2x experiencia))</t>
  </si>
  <si>
    <t>6 · ESTADO DE DESEMBOLSO (anti-suplantacion)</t>
  </si>
  <si>
    <t>Estado de la cuenta de desembolso</t>
  </si>
  <si>
    <t>7 · CONCEPTO DEL ANALISTA DE CREDITO</t>
  </si>
  <si>
    <t>Escriba aqui el concepto del analista (identidad, ADRES, soportes, notas)...</t>
  </si>
  <si>
    <t>Analista:</t>
  </si>
  <si>
    <t>8 · DECISION DEL COMITE DE CREDITO</t>
  </si>
  <si>
    <t>Marque SI en las instrucciones del comite; el parrafo se arma solo:</t>
  </si>
  <si>
    <t>1. Validar identidad con preguntas reto</t>
  </si>
  <si>
    <t>SI</t>
  </si>
  <si>
    <t>2. Solicitar documentacion soporte para validar direccion, telefono o cuenta de ahorros</t>
  </si>
  <si>
    <t>3. Solicitar segunda cuenta de ahorros con mayor tiempo evidenciable en historia de credito</t>
  </si>
  <si>
    <t>4. Cliente en tratamiento de inclusion financiera o bancarizacion</t>
  </si>
  <si>
    <t>5. Cliente con minima experiencia crediticia</t>
  </si>
  <si>
    <t>6. Cliente con alguna experiencia crediticia</t>
  </si>
  <si>
    <t>7. Cliente con buena experiencia crediticia</t>
  </si>
  <si>
    <t>8. Cliente con excelente experiencia crediticia</t>
  </si>
  <si>
    <t>9. Indicarle que pagar oportunamente le permitira dejar las puertas abiertas con la compañia</t>
  </si>
  <si>
    <t>10. Indicarle que esta iniciando su vida crediticia y Finalco le da un voto de confianza</t>
  </si>
  <si>
    <t>11. Indicarle que ha tenido moras pasadas; no obstante, damos un voto de confianza en su pago oportuno</t>
  </si>
  <si>
    <t>12. Indicarle que evidenciamos un endeudamiento que amerita revision interna para evitar quedar en mora</t>
  </si>
  <si>
    <t>13. Recomendarle seguirnos en redes sociales y leer nuestro contenido de educacion financiera</t>
  </si>
  <si>
    <t>Concepto del comite (automatico, editable):</t>
  </si>
  <si>
    <t>Fecha aprobacion comite (AAAA/MM/DD):</t>
  </si>
  <si>
    <t>9 · PARAMETROS Y CALIBRACION -&gt; hoja 'Reglas'</t>
  </si>
  <si>
    <t xml:space="preserve">  FINALCO · MOTOR DE DECISION FINAMIGO — GUIA DE USO (v3)</t>
  </si>
  <si>
    <t xml:space="preserve">  Nanocredito $200.000 a $600.000 a maximo 2 meses</t>
  </si>
  <si>
    <t xml:space="preserve">  ORDEN DE TRABAJO</t>
  </si>
  <si>
    <t xml:space="preserve">  1) PLAN DE PAGOS: ingrese monto, plazo y tasa. Obtiene la cuota mensual Finalco.</t>
  </si>
  <si>
    <t xml:space="preserve">  2) CAPTURA EXPERIAN: digite en AMARILLO lo que ve en los documentos (HC, Preselecta, Digiventure).</t>
  </si>
  <si>
    <t xml:space="preserve">     Pase el mouse por cada celda amarilla para ver la AYUDA (definicion + ejemplo + donde mirar).</t>
  </si>
  <si>
    <t xml:space="preserve">     Donde se pueda digite FECHAS y el Excel calcula edades/meses/anos solo (menos errores).</t>
  </si>
  <si>
    <t xml:space="preserve">  3) FLUJO EMPLEADO: complete ingresos y gastos. Indique cuanto de la cuota es nanocredito (pesa 50%),</t>
  </si>
  <si>
    <t xml:space="preserve">     cuanto es de tarjetas, y cuantas personas a cargo. Revise la CAPACIDAD DE PAGO (SI/NO).</t>
  </si>
  <si>
    <t xml:space="preserve">  4) MOTOR DE DECISION: la decision, banda, monto y condiciones aparecen solas. Ajuste manual solo si discrepa.</t>
  </si>
  <si>
    <t xml:space="preserve">  COMO LEER EL MOTOR (auto + ajuste manual)</t>
  </si>
  <si>
    <t xml:space="preserve">  Cada componente muestra el 'Resultado automatico' (viene de Captura). Si una celda sale en ROJO, es una</t>
  </si>
  <si>
    <t xml:space="preserve">  desviacion/alerta: vaya a Captura y verifique el dato. Solo si de verdad discrepa, elija otra opcion en</t>
  </si>
  <si>
    <t xml:space="preserve">  'Ajuste manual'. El ajuste manual SIEMPRE manda sobre el automatico.</t>
  </si>
  <si>
    <t xml:space="preserve">  PONDERACION (por que los puntos no suman 100 directo)</t>
  </si>
  <si>
    <t xml:space="preserve">  Cada eje se evalua sobre su propio maximo y luego se pondera: puntaje = (suma de [subtotal_eje/maximo_eje x</t>
  </si>
  <si>
    <t xml:space="preserve">  peso_eje]) / (suma de pesos) x 100. Asi el resultado SIEMPRE queda en 0-100 aunque los pesos no sumen 100.</t>
  </si>
  <si>
    <t xml:space="preserve">  Pesos por defecto: CAPACIDAD 30 · COMPORTAMIENTO 30 · FLUJO 20 · ENTORNO 8 (editables en Reglas).</t>
  </si>
  <si>
    <t xml:space="preserve">  Ajustes (suman/restan, final 0-100): Begini, ADRES (retiro resta), Patrimonio (solo suma), Experiencia.</t>
  </si>
  <si>
    <t xml:space="preserve">  RECHAZO TECNICO Y ALERTAS</t>
  </si>
  <si>
    <t xml:space="preserve">  Rechazo Tecnico (duro) = rechazo automatico: documento no vigente, Tipo 5/6/7, cartera castigada/dudoso</t>
  </si>
  <si>
    <t xml:space="preserve">  vigente, mora 60+, cobro juridico, suplantacion. Las ALERTAS estan como preguntas SI/NO.</t>
  </si>
  <si>
    <t xml:space="preserve">  Capacidad insuficiente: segun Reglas (CAP_MODE) genera una CONDICION (Aprobado Condicionado) o pasa a Comite.</t>
  </si>
  <si>
    <t xml:space="preserve">  DECISION (4 estados) Y BANDAS</t>
  </si>
  <si>
    <t xml:space="preserve">  RECHAZADO · REVISION COMITE · APROBADO CONDICIONADO · APROBADO.</t>
  </si>
  <si>
    <t xml:space="preserve">  A(80-100) $400-600K · B(65-79) $300-400K · C(50-64) $200K · C-(40-49) Comite · D rechazo.</t>
  </si>
  <si>
    <t xml:space="preserve">  IDEA CLAVE DE NANOCREDITO</t>
  </si>
  <si>
    <t xml:space="preserve">  No se rechaza por deber mucho, consultar mucho ni por score bajo de central. Se rechaza por DETERIORO</t>
  </si>
  <si>
    <t xml:space="preserve">  VIGENTE (castigada, dudoso, mora viva). El que rota nanos y los paga al dia es el cliente IDEAL.</t>
  </si>
  <si>
    <t xml:space="preserve">  CALIBRACION (hoja Reglas)</t>
  </si>
  <si>
    <t xml:space="preserve">  Edite SOLO Reglas: pesos, cortes de banda, factor nano (50%), base de ingreso (Conservador/Declarado/QUANTO),</t>
  </si>
  <si>
    <t xml:space="preserve">  modo de capacidad, umbrales de rechazo, manutencion, costos. No toque Listas.</t>
  </si>
  <si>
    <t xml:space="preserve">  Tip: para un rotador probado con ingreso QUANTO bajo, puede usar base de ingreso 'Declarado' e indicar la</t>
  </si>
  <si>
    <t xml:space="preserve">  porcion nano; asi la capacidad refleja su comportamiento real.</t>
  </si>
  <si>
    <t xml:space="preserve">  PROTECCION Y EDICION</t>
  </si>
  <si>
    <t xml:space="preserve">  Las celdas con FORMULA estan protegidas (no se pueden borrar). Solo las celdas de captura (amarillas) son</t>
  </si>
  <si>
    <t xml:space="preserve">  editables. Para desproteger una hoja y recalibrar a fondo: Revisar &gt; Desproteger hoja &gt; clave: Renata2026</t>
  </si>
  <si>
    <t xml:space="preserve">  PENDIENTE POR CONFIRMAR (Finalco)</t>
  </si>
  <si>
    <t xml:space="preserve">  - Tasa E.A. y costos: default produccion DG 24.26%. (v11 traia 29.68%). Confirmar en Reglas y Plan de pagos.</t>
  </si>
  <si>
    <t xml:space="preserve">  - Calibrar pesos/cortes/banda con la mora real por banda cada trimestre.</t>
  </si>
  <si>
    <t>Preguntas reto</t>
  </si>
  <si>
    <t>Consideraciones, siempre se debe preguntar:
- Fecha de expedición de CC
-3 preguntas de datacrédito (minimo una afirmativa y una negativa)</t>
  </si>
  <si>
    <t>0. Me puede indicar por favor la fecha y lugar de expedición de su CC (cliente debe responder rapidamente)</t>
  </si>
  <si>
    <t>4. Me puede indicar por favor si ud. Tiene una cuenta activa de ahorros con el banco (Validar en datacrédito un banco con el que SI tenga producto). Rta Afirmativa</t>
  </si>
  <si>
    <t>1.  Me puede indicar por favor si ud. Tiene una cuenta activa de ______ (crédito o TDC) con el banco (Validar en datacrédito un banco con el que SI tenga producto). Rta Afirmativa</t>
  </si>
  <si>
    <t>5. Me puede indicar por favor si ud. Tiene una cuenta activa con operador movil____ (validar en datacrédito con el que SI tenga producto). Rta afirmativa</t>
  </si>
  <si>
    <t>2. Me puede indicar por favor si ud. Tiene una cuenta activa de______(crédito o TDC) con el banco (Validar en datacrédito un banco con el que NO tenga producto). Rta negativa</t>
  </si>
  <si>
    <t>6. Me puede indicar por favor si ud. Tiene una cuenta activa con operador movil____ (validar en datacrédito con el que NO tenga producto). Rta negativa</t>
  </si>
  <si>
    <t>3. Me puede indicar por favor si ud. Tiene una cuenta activa de ahorros con el banco (Validar en datacrédito un banco con el que NO tenga producto). Rta negativa</t>
  </si>
  <si>
    <t>EVIDENCIA FOTOGRAFICA</t>
  </si>
  <si>
    <t>Doc de Identidad</t>
  </si>
  <si>
    <t>Destino del crédito</t>
  </si>
  <si>
    <t>EVIDENCIA FOTOGRAFICA DEL SITIO DE TRABAJO Y DEL CLIENTE</t>
  </si>
  <si>
    <t>MAPA DE UBICACIÓN DEL CLIENTE</t>
  </si>
  <si>
    <t>Plan de pagos: Carta de bienvenida</t>
  </si>
  <si>
    <t>Simulador:</t>
  </si>
  <si>
    <t>Valor solicitado</t>
  </si>
  <si>
    <t>Interés</t>
  </si>
  <si>
    <t>Seguro vida</t>
  </si>
  <si>
    <t>Fianza + IVA</t>
  </si>
  <si>
    <t>Tecnología + IVA</t>
  </si>
  <si>
    <t>Administración</t>
  </si>
  <si>
    <t>Descuento (por inclusión financiera)</t>
  </si>
  <si>
    <t>Total a pagar</t>
  </si>
  <si>
    <t>GUIÓN PRE-APROBADO FINAMIGO</t>
  </si>
  <si>
    <t>Saludo</t>
  </si>
  <si>
    <t>Buen día sr(a)________________, Habla con __________ del aréa de crédito de Finalco SAS. 
¿Como se encuentra el día de hoy?
Rta. Positiva: Me alegra 
Rta negativa: Entiendo
El motivo de mi llamada, se debe a que ud. Solicito un préstamo Finamigo, el cual se encuentra en estado pre-aprobado</t>
  </si>
  <si>
    <t>Preguntas Reto</t>
  </si>
  <si>
    <t>, por lo que requerimos realizar unas preguntas de seguridad, para validar su identidad.
Quisiera conocer si ud. dispone de unos minutos para atender la llamada, de salir positivas las respuestas procedemos a brindar las condiciones del crédito y firmar el pagaré digital.</t>
  </si>
  <si>
    <t>Rta. Positiva: De acuerdo (realizar Preguntas reto)</t>
  </si>
  <si>
    <t>Rta negativa: Entiendo, en que horario puedo llamarlo nuevamente.
Entonces me contactare en ese horario. Recuerde que hablo con ____________ de Finalco SAS. Que tenga buen resto de día.</t>
  </si>
  <si>
    <t>condiciones de crédito en caso de que cambie el valor de la solicitud</t>
  </si>
  <si>
    <t xml:space="preserve">Cliente pasa el filtro, debe responder 3/4: </t>
  </si>
  <si>
    <t xml:space="preserve">Cliente NO pasa el filtro, debe responder 3/4: </t>
  </si>
  <si>
    <t>Perfecto sr(a)________ las respuestas fueron correctas, por lo cual procedo a indicarle las condiciones del crédito: 
Monto:________
Plazo:_________
Valor cuota:______________
Fecha de pago:___________</t>
  </si>
  <si>
    <t xml:space="preserve">Sr(a)________, lamento informarle que fallamos en las respuestas de seguridad, por lo cual el sistema rechaza automaticamente su solicitud de crédito. 
Recuerde que hablo con ____________ de Finalco SAS. Que tenga buen resto de día.
</t>
  </si>
  <si>
    <t>¿Tiene alguna duda con la información brindada?</t>
  </si>
  <si>
    <t>Firma Pagaré</t>
  </si>
  <si>
    <t>Rta. Positiva: Le confirmo el proceso para firmar el pagaré y aprobar la solicitud.
Rta negativa: Resolver inquietud</t>
  </si>
  <si>
    <t>A su correo electronico le va a llegar en unos minutos un email para la firma de pagaré digital. A su whatsapp le voy a enviar el link del video donde explica como hacer el proceso, el cual es muy sencillo.
Inmediatamente quede firmado el documento, a ud. Le llega una copia a su correo.</t>
  </si>
  <si>
    <t>https://finalco.com.co/firma_pagare/</t>
  </si>
  <si>
    <t>Confirmar la cuenta bancaria… Preguntar si tiene nequi o Bancolombia
La cuenta si o si debe estar a nombre del cliente</t>
  </si>
  <si>
    <t>Despedida</t>
  </si>
  <si>
    <t>Recuerde que una vez quede aprobado el préstamo le llegará un correo informandolo y cuando se realice el desembolso, le llegara una carta de bienvenida con la información del crédito y los canales de pago.</t>
  </si>
  <si>
    <t>Le recuerdo tambien que este crédito es diferente al actual por lo que son dos cuotas apartes</t>
  </si>
  <si>
    <t>Muchas gracias por atender mi llamada, recuerde que hablo con ____________ de Finalco SAS. Que tenga buen resto de día.</t>
  </si>
  <si>
    <t>FORMATO DE REFERENCIACION</t>
  </si>
  <si>
    <t>Asesor</t>
  </si>
  <si>
    <t xml:space="preserve">Observaciones del Crédito: </t>
  </si>
  <si>
    <t>Certificación Laboral</t>
  </si>
  <si>
    <t>Nombre:</t>
  </si>
  <si>
    <t>Teléfono</t>
  </si>
  <si>
    <t>Observaciones:</t>
  </si>
  <si>
    <t>Referencia 2.</t>
  </si>
  <si>
    <t>Nombre</t>
  </si>
  <si>
    <t xml:space="preserve">propia </t>
  </si>
  <si>
    <t>Parentesco</t>
  </si>
  <si>
    <t xml:space="preserve">Arrendada </t>
  </si>
  <si>
    <t>Familiar</t>
  </si>
  <si>
    <t>Hace cuanto conoce al señor (a)</t>
  </si>
  <si>
    <t xml:space="preserve">En qué lugar vive:  </t>
  </si>
  <si>
    <t xml:space="preserve">hace cuánto tiempo: </t>
  </si>
  <si>
    <t>Cuál es la actividad principal:</t>
  </si>
  <si>
    <t>Empresa (si es empleado)</t>
  </si>
  <si>
    <t>Cuantos hijos tiene</t>
  </si>
  <si>
    <t xml:space="preserve">de que edades </t>
  </si>
  <si>
    <t>Vive en casa:</t>
  </si>
  <si>
    <t>Qué referencia me podría dar del señor (a):</t>
  </si>
  <si>
    <t>Referencia 1.</t>
  </si>
  <si>
    <t xml:space="preserve">                                                          GUION PREGUNTAS RETO FINAMIGO</t>
  </si>
  <si>
    <t xml:space="preserve">                   SALUDO</t>
  </si>
  <si>
    <t>Buen día sr(a)________________, Habla con __________ del área de crédito de Finalco SAS. 
¿Como se encuentra el día de hoy?
Rta. Positiva: Me alegra 
Rta negativa: Entiendo</t>
  </si>
  <si>
    <t xml:space="preserve">               </t>
  </si>
  <si>
    <t xml:space="preserve">                  </t>
  </si>
  <si>
    <t>El motivo de mi llamada se debe a que usted solicito un préstamo Finamigo, y para el desembolso se hace necesario validar su identidad.</t>
  </si>
  <si>
    <t xml:space="preserve">Le informamos que este procedimiento no tomara mucho tiempo y  será muy breve. </t>
  </si>
  <si>
    <t>Le recomendamos igualmente preste atención a las preguntas y a las respuestas ya que de este proceso depende la aprobación final del crédito. En caso de que las preguntas quede mal contestadas, el área de gestión de riesgo se comunicara posteriormente con usted.</t>
  </si>
  <si>
    <t>1. Me puede confirmar la fecha de expedición de su documento.</t>
  </si>
  <si>
    <t xml:space="preserve">Rta: debe validar directamente en la cedula </t>
  </si>
  <si>
    <t xml:space="preserve">2. ¿Con que banco usted tiene cuenta de ahorro? </t>
  </si>
  <si>
    <t xml:space="preserve">                PREGUNTAS </t>
  </si>
  <si>
    <t>A.) Caja social.</t>
  </si>
  <si>
    <t>B.) Bogota.</t>
  </si>
  <si>
    <t>C.) Pichincha.</t>
  </si>
  <si>
    <t>D.) Ninguna de las anteriores.</t>
  </si>
  <si>
    <t>Rta:</t>
  </si>
  <si>
    <t>3. ¿Con que banco tiene usted tarjeta de credito?</t>
  </si>
  <si>
    <t xml:space="preserve">A.) Colpatria. </t>
  </si>
  <si>
    <t>B.) Juriscop.</t>
  </si>
  <si>
    <t xml:space="preserve">C.) Bancolombia. </t>
  </si>
  <si>
    <t>4.) Usted conoce o ha tenido contacto con alguna de las siguientes direcciones.?</t>
  </si>
  <si>
    <t xml:space="preserve">Direccion 1: </t>
  </si>
  <si>
    <t xml:space="preserve">Direccion 2: </t>
  </si>
  <si>
    <t>Rta cliente:</t>
  </si>
  <si>
    <t>Nota Finalco:</t>
  </si>
  <si>
    <t>Video descarga NEQUI cetificado</t>
  </si>
  <si>
    <t>https://www.youtube.com/watch?v=aYt_zxMKKwM&amp;t=5s</t>
  </si>
  <si>
    <t>Video descarga Daviplata cetificado</t>
  </si>
  <si>
    <t>https://www.youtube.com/watch?v=rIN4zjCPmq8</t>
  </si>
  <si>
    <t xml:space="preserve">  FINALCO . REGLAS Y PARAMETROS (editar SOLO aqui para calibrar)</t>
  </si>
  <si>
    <t xml:space="preserve">  PESOS DE LOS EJES (normaliza a 100 aunque no sumen 100)</t>
  </si>
  <si>
    <t xml:space="preserve">  Peso eje CAPACIDAD</t>
  </si>
  <si>
    <t xml:space="preserve">  Peso eje COMPORTAMIENTO</t>
  </si>
  <si>
    <t xml:space="preserve">  Peso eje FLUJO</t>
  </si>
  <si>
    <t xml:space="preserve">  Peso eje ENTORNO</t>
  </si>
  <si>
    <t xml:space="preserve">  CORTES DE BANDA (puntaje &gt;=)</t>
  </si>
  <si>
    <t xml:space="preserve">  Banda A - Aprobar $400-600K</t>
  </si>
  <si>
    <t>Calibrar con mora real por banda cada trimestre</t>
  </si>
  <si>
    <t xml:space="preserve">  Banda B - Aprobar $300-400K</t>
  </si>
  <si>
    <t xml:space="preserve">  Banda C - Aprobar entrada $200K</t>
  </si>
  <si>
    <t xml:space="preserve">  Banda C- - Revision Comite</t>
  </si>
  <si>
    <t xml:space="preserve">  CAPACIDAD DE PAGO Y FACTORES NANO</t>
  </si>
  <si>
    <t xml:space="preserve">  Factor cuota nanocredito (se auto-liquida)</t>
  </si>
  <si>
    <t>Cuota nano pesa 50%; credito normal 100%</t>
  </si>
  <si>
    <t xml:space="preserve">  Gasto de sostenimiento (% netos)</t>
  </si>
  <si>
    <t xml:space="preserve">  Descuentos de ley (%)</t>
  </si>
  <si>
    <t xml:space="preserve">  Colchon de imprevistos (% netos)</t>
  </si>
  <si>
    <t xml:space="preserve">  Limite cuota / ingreso neto</t>
  </si>
  <si>
    <t xml:space="preserve">  Manutencion por persona a cargo (% netos)</t>
  </si>
  <si>
    <t>Se multiplica por # personas a cargo (Flujo Empleado)</t>
  </si>
  <si>
    <t xml:space="preserve">  Capacidad insuficiente =&gt; </t>
  </si>
  <si>
    <t>CONDICION</t>
  </si>
  <si>
    <t>CONDICION (Aprobado Condic.) o COMITE (Revision). Ver Guia</t>
  </si>
  <si>
    <t xml:space="preserve">  Base de ingreso para capacidad</t>
  </si>
  <si>
    <t>Conservador</t>
  </si>
  <si>
    <t>Conservador=MIN(declarado,QUANTO) . Declarado . QUANTO. Para rotadores probados puede usar Declarado.</t>
  </si>
  <si>
    <t xml:space="preserve">  UMBRALES DE RECHAZO TECNICO</t>
  </si>
  <si>
    <t xml:space="preserve">  Umbral mora evidente / castigada y excepcion renovacion ($)</t>
  </si>
  <si>
    <t xml:space="preserve">  Mora vigente &gt;= (dias)</t>
  </si>
  <si>
    <t xml:space="preserve">  Alerta si total consultas (6m) supera</t>
  </si>
  <si>
    <t>Muchas consultas = posible sobreendeudamiento (excluir CIUDADANO y CONSULTAS LOTE)</t>
  </si>
  <si>
    <t xml:space="preserve">  COSTOS DEL CREDITO  (default produccion DG . CONFIRMAR Finalco)</t>
  </si>
  <si>
    <t xml:space="preserve">  Tasa E.A. (referencia; el calculo real esta en Plan de pagos)</t>
  </si>
  <si>
    <t>DG=24.26% . v11=29.68% (PENDIENTE confirmar)</t>
  </si>
  <si>
    <t xml:space="preserve">  Administracion (fijo $)</t>
  </si>
  <si>
    <t xml:space="preserve">  Tecnologia (% del monto)</t>
  </si>
  <si>
    <t>+7.800 fijo</t>
  </si>
  <si>
    <t xml:space="preserve">  LISTA DE ANALISTAS DE CREDITO (firma)</t>
  </si>
  <si>
    <t xml:space="preserve">   Luna Munoz</t>
  </si>
  <si>
    <t xml:space="preserve">   Angelica Barajas</t>
  </si>
  <si>
    <t xml:space="preserve">   Valeria Bohorquez</t>
  </si>
  <si>
    <t xml:space="preserve">   Dayana Garibello</t>
  </si>
  <si>
    <t xml:space="preserve">   Felipe Bohorquez</t>
  </si>
  <si>
    <t xml:space="preserve">   Fredy Pito</t>
  </si>
  <si>
    <t xml:space="preserve">   Jhon Enriquez</t>
  </si>
  <si>
    <t xml:space="preserve">  Peso Comportamiento (perfil NUEVO)</t>
  </si>
  <si>
    <t>En Ruta Nuevo el comportamiento se mide con telco (señal mas debil); por eso pesa menos (12 vs 30).</t>
  </si>
  <si>
    <t xml:space="preserve">  MENSAJES TIPO COMITE (checkbox -&gt; parrafo automatico)</t>
  </si>
  <si>
    <t xml:space="preserve">   1. Validar identidad con preguntas reto</t>
  </si>
  <si>
    <t xml:space="preserve">   2. Solicitar documentacion soporte para validar direccion, telefono o cuenta de ahorros</t>
  </si>
  <si>
    <t xml:space="preserve">   3. Solicitar segunda cuenta de ahorros con mayor tiempo evidenciable en historia de credito</t>
  </si>
  <si>
    <t xml:space="preserve">   4. Cliente en tratamiento de inclusion financiera o bancarizacion</t>
  </si>
  <si>
    <t xml:space="preserve">   5. Cliente con minima experiencia crediticia</t>
  </si>
  <si>
    <t xml:space="preserve">   6. Cliente con alguna experiencia crediticia</t>
  </si>
  <si>
    <t xml:space="preserve">   7. Cliente con buena experiencia crediticia</t>
  </si>
  <si>
    <t xml:space="preserve">   8. Cliente con excelente experiencia crediticia</t>
  </si>
  <si>
    <t xml:space="preserve">  EQUIVALENCIA BEGINI 0-8 (reemplaza pestana ListaDepegable)</t>
  </si>
  <si>
    <t xml:space="preserve">   0 = No contesto</t>
  </si>
  <si>
    <t xml:space="preserve">   1 = Riesgo mas alto</t>
  </si>
  <si>
    <t xml:space="preserve">   2 = Riesgo muy alto</t>
  </si>
  <si>
    <t xml:space="preserve">   3 = Riesgo alto</t>
  </si>
  <si>
    <t xml:space="preserve">   4 = Riesgo medio</t>
  </si>
  <si>
    <t xml:space="preserve">   5 = Riesgo bajo</t>
  </si>
  <si>
    <t xml:space="preserve">   6 = Riesgo muy bajo</t>
  </si>
  <si>
    <t xml:space="preserve">   7 = Riesgo mas bajo</t>
  </si>
  <si>
    <t xml:space="preserve">   8 = No termino</t>
  </si>
  <si>
    <t xml:space="preserve">  DICCIONARIO DE PUNTAJES POR COMPONENTE (espejo de Listas)</t>
  </si>
  <si>
    <t xml:space="preserve">  EJE CAPACIDAD (peso 30)</t>
  </si>
  <si>
    <t xml:space="preserve">   CAP1. Uso del cupo: ¿que % del cupo total tiene ya usado? (Saldo/Cupo) (max 10)</t>
  </si>
  <si>
    <t>PN &gt; Endeudamiento Actual, fila TOTAL, columna '% Deuda' (saldo / valor o cupo inicial). Ej: 89.1% = casi lleno.</t>
  </si>
  <si>
    <t xml:space="preserve">      Bajo: usa menos del 50% del cupo</t>
  </si>
  <si>
    <t xml:space="preserve">      Medio: usa 50-80% del cupo</t>
  </si>
  <si>
    <t xml:space="preserve">      Alto: usa 80-90% del cupo</t>
  </si>
  <si>
    <t xml:space="preserve">      Muy alto: usa mas del 90% del cupo</t>
  </si>
  <si>
    <t xml:space="preserve">   CAP2. Holgura: la cuota nueva Finalco ¿que tan grande es frente a lo que ya paga al dia? (max 10)</t>
  </si>
  <si>
    <t>Automatico: cuota Finalco / TOTAL Valor Cuota del reporte. Mide si la cuota nueva es pequena vs lo que ya atiende.</t>
  </si>
  <si>
    <t xml:space="preserve">      Comoda: cuota nueva &lt;= 20% de lo que ya paga</t>
  </si>
  <si>
    <t xml:space="preserve">      Aceptable: 20-35%</t>
  </si>
  <si>
    <t xml:space="preserve">      Ajustada: 35-50%</t>
  </si>
  <si>
    <t xml:space="preserve">      Riesgosa: mas de 50% o hay mora</t>
  </si>
  <si>
    <t xml:space="preserve">   CAP3. Mora hoy: ¿cuanto debe en mora en este momento? (saldo en mora total) (max 6)</t>
  </si>
  <si>
    <t>PN &gt; Endeudamiento Actual, fila TOTAL, columna 'Saldo en Mora'. Es el dinero vencido HOY (no histórico).</t>
  </si>
  <si>
    <t xml:space="preserve">      Sano: $0 en mora</t>
  </si>
  <si>
    <t xml:space="preserve">      Leve: $1 a $100.000</t>
  </si>
  <si>
    <t xml:space="preserve">      Medio: $100.000 a $500.000</t>
  </si>
  <si>
    <t xml:space="preserve">      Grave: mas de $500.000</t>
  </si>
  <si>
    <t xml:space="preserve">   CAP4. Carga: ¿cuantos creditos vigentes tiene al tiempo? (max 5)</t>
  </si>
  <si>
    <t>PN &gt; RESUMEN Perfil General &gt; 'Creditos Vigentes' (Total Sectores). No incluye cuentas de ahorro.</t>
  </si>
  <si>
    <t xml:space="preserve">      1 a 5 creditos</t>
  </si>
  <si>
    <t xml:space="preserve">      6 a 8 creditos</t>
  </si>
  <si>
    <t xml:space="preserve">      9 a 12 creditos</t>
  </si>
  <si>
    <t xml:space="preserve">      Mas de 12 creditos</t>
  </si>
  <si>
    <t xml:space="preserve">  EJE COMPORTAMIENTO (peso 30)</t>
  </si>
  <si>
    <t xml:space="preserve">   COM1. Comportamiento reciente: peor mora del vector en los ULTIMOS 6 MESES (max 15)</t>
  </si>
  <si>
    <t>PN &gt; ANALISIS DE VECTORES. El vector usa codigos: N=al dia, 1=30d, 2=60d, 3=90d, 4=120d, 5=150d, 6=180d, D=dudoso, C=castigada. Tome el PEOR de los ultimos 6 meses (solo creditos).</t>
  </si>
  <si>
    <t xml:space="preserve">      Excelente: todo N (sin mora)</t>
  </si>
  <si>
    <t xml:space="preserve">      Bueno: maximo un 1 (30 dias) aislado</t>
  </si>
  <si>
    <t xml:space="preserve">      Regular: dos 1 o un 2 (60 dias)</t>
  </si>
  <si>
    <t xml:space="preserve">      Malo: un 3 o 4 (90-120 dias)</t>
  </si>
  <si>
    <t xml:space="preserve">      Critico: aparece D (dudoso) o C (castigada)</t>
  </si>
  <si>
    <t xml:space="preserve">   COM2. Estado actual: ¿como estan HOY sus obligaciones vigentes? (max 10)</t>
  </si>
  <si>
    <t>PN &gt; HABITO DE PAGO ABIERTAS/VIGENTES &gt; 'Estado de la Obligacion'. AL DIA=pago oportuno; ESTA EN MORA XX=dias en mora; DUDOSO RECAUDO=+6 meses mora; CART. CASTIGADA=perdida.</t>
  </si>
  <si>
    <t xml:space="preserve">      Todas al dia</t>
  </si>
  <si>
    <t xml:space="preserve">      Una en mora 30, las demas al dia</t>
  </si>
  <si>
    <t xml:space="preserve">      Dos o mas en mora 30, o una en mora 60+</t>
  </si>
  <si>
    <t xml:space="preserve">      Alguna castigada o en dudoso recaudo</t>
  </si>
  <si>
    <t xml:space="preserve">   COM3. Cierres pasados: ¿como cerro los creditos que ya termino? (max 8)</t>
  </si>
  <si>
    <t>PN &gt; HABITO DE PAGO CERRADAS/INACTIVAS &gt; 'Estado'. PAGO VOL=cerro voluntariamente bien; SALDADO=terminó de pagar bien; CAN. MAL MANEJO=cerro mal. Cuente el % de cierres buenos (Pago Vol + Saldado).</t>
  </si>
  <si>
    <t xml:space="preserve">      80-100% cerrados bien (Pago Vol/Saldado)</t>
  </si>
  <si>
    <t xml:space="preserve">      60-79% cerrados bien</t>
  </si>
  <si>
    <t xml:space="preserve">      40-59% cerrados bien</t>
  </si>
  <si>
    <t xml:space="preserve">      Sin historial de cerradas</t>
  </si>
  <si>
    <t xml:space="preserve">      Menos de 40% o hay 'Can. mal manejo'</t>
  </si>
  <si>
    <t xml:space="preserve">   COM4. Puntualidad: ¿paga a tiempo? (dias de atraso / prepago) (max 6)</t>
  </si>
  <si>
    <t>PN &gt; COMPORTAMIENTO DE PAGO EN DIAS. 0=sin atraso, numero(+)=dias de atraso, NP=no pagó la cuota del mes.</t>
  </si>
  <si>
    <t xml:space="preserve">      Muy puntual: 0 dias y suele prepagar</t>
  </si>
  <si>
    <t xml:space="preserve">      Puntual: 0 dias (sin dato de prepago)</t>
  </si>
  <si>
    <t xml:space="preserve">      Irregular: 1-2 meses con algun atraso</t>
  </si>
  <si>
    <t xml:space="preserve">      Incumplido: varios NP (no pago)</t>
  </si>
  <si>
    <t xml:space="preserve">   COM5. Peor mora en 12 meses: ¿hasta donde llego en el ultimo año? (max 4)</t>
  </si>
  <si>
    <t>PN &gt; RESUMEN &gt; 'Total Moras Maximas' (peor codigo del vector en 12 meses).</t>
  </si>
  <si>
    <t xml:space="preserve">      Todo N (nunca en mora)</t>
  </si>
  <si>
    <t xml:space="preserve">      Llego a 1 (30 dias)</t>
  </si>
  <si>
    <t xml:space="preserve">      Llego a 2 (60 dias)</t>
  </si>
  <si>
    <t xml:space="preserve">      Llego a 3 o 4 (90-120 dias)</t>
  </si>
  <si>
    <t xml:space="preserve">      Llego a C o D</t>
  </si>
  <si>
    <t xml:space="preserve">   COM6. Tendencia de la mora: ¿como evoluciona su saldo en mora mes a mes? (max 4)</t>
  </si>
  <si>
    <t>PN &gt; RESUMEN Tendencia de Endeudamiento &gt; 'Saldo Deuda Total en Mora' (12 meses). Mire si sube, baja o esta en cero.</t>
  </si>
  <si>
    <t xml:space="preserve">      Siempre en $0</t>
  </si>
  <si>
    <t xml:space="preserve">      Casi siempre $0 (un mes aislado pequeno)</t>
  </si>
  <si>
    <t xml:space="preserve">      Tuvo mora pero viene bajando</t>
  </si>
  <si>
    <t xml:space="preserve">      Mora estable o creciendo</t>
  </si>
  <si>
    <t xml:space="preserve">   COM7. Calificacion (Calf A-E) de las entidades (max 2)</t>
  </si>
  <si>
    <t>PN &gt; Endeudamiento Actual &gt; columna 'Calf'. A=riesgo normal/al dia; B=aceptable; C=apreciable; D=significativo; E=incobrable. (Aplica solo a creditos del sector financiero.)</t>
  </si>
  <si>
    <t xml:space="preserve">      Todas A</t>
  </si>
  <si>
    <t xml:space="preserve">      Mezcla A y B</t>
  </si>
  <si>
    <t xml:space="preserve">      Hay C, o sin Calf</t>
  </si>
  <si>
    <t xml:space="preserve">      Hay D o E</t>
  </si>
  <si>
    <t xml:space="preserve">   COM8. Experiencia: profundidad del historial crediticio (en AÑOS) (max 6)</t>
  </si>
  <si>
    <t>PN &gt; RESUMEN Perfil General &gt; 'Antiguedad desde' (fecha del credito mas antiguo). El Excel calcula los años. Si no tiene experiencia financiera, vale la del sector real o telcos (Fecha apertura).</t>
  </si>
  <si>
    <t xml:space="preserve">      Mas de 5 anos</t>
  </si>
  <si>
    <t xml:space="preserve">      2 a 5 anos</t>
  </si>
  <si>
    <t xml:space="preserve">      1 a 2 anos</t>
  </si>
  <si>
    <t xml:space="preserve">      Menos de 1 ano</t>
  </si>
  <si>
    <t xml:space="preserve">  EJE FLUJO (peso 20)</t>
  </si>
  <si>
    <t xml:space="preserve">   FLU1. Disponible: ¿le queda dinero despues de pagar la cuota Finalco? (max 8)</t>
  </si>
  <si>
    <t>Automatico desde 'Flujo Empleado' (capacidad nano). Verde = positivo y cubre colchon de imprevistos.</t>
  </si>
  <si>
    <t xml:space="preserve">      Positivo y cubre el colchon de imprevistos</t>
  </si>
  <si>
    <t xml:space="preserve">      Positivo pero ajustado (no cubre colchon)</t>
  </si>
  <si>
    <t xml:space="preserve">      Queda en cero o negativo leve</t>
  </si>
  <si>
    <t xml:space="preserve">      Negativo</t>
  </si>
  <si>
    <t xml:space="preserve">   FLU2. Peso de la cuota: cuota Finalco / ingreso neto (ideal &lt; 30%) (max 6)</t>
  </si>
  <si>
    <t>Automatico desde 'Flujo Empleado'. La cuota nueva no deberia superar el 30% del ingreso neto.</t>
  </si>
  <si>
    <t xml:space="preserve">      Liviana: menos de 20%</t>
  </si>
  <si>
    <t xml:space="preserve">      Bien: 20-30%</t>
  </si>
  <si>
    <t xml:space="preserve">      Pesada: 30-40%</t>
  </si>
  <si>
    <t xml:space="preserve">      Excesiva: mas de 40%</t>
  </si>
  <si>
    <t xml:space="preserve">   FLU3. Carga total: (deuda servida + cuota nueva) / ingreso neto (max 3)</t>
  </si>
  <si>
    <t>Automatico desde 'Flujo Empleado'. Usa la deuda servida (normal 100% / nano 50%).</t>
  </si>
  <si>
    <t xml:space="preserve">      Menos de 50%</t>
  </si>
  <si>
    <t xml:space="preserve">      50-80%</t>
  </si>
  <si>
    <t xml:space="preserve">      80-100%</t>
  </si>
  <si>
    <t xml:space="preserve">      Mas de 100%</t>
  </si>
  <si>
    <t xml:space="preserve">   FLU4. Coherencia de ingreso: declarado vs QUANTO (Preselecta) (max 3)</t>
  </si>
  <si>
    <t>Automatico. Si lo declarado es muy superior al QUANTO del modelo, hay que validar el ingreso.</t>
  </si>
  <si>
    <t xml:space="preserve">      Coherente: declarado &lt;= QUANTO</t>
  </si>
  <si>
    <t xml:space="preserve">      Aceptable: hasta 1.5x el QUANTO</t>
  </si>
  <si>
    <t xml:space="preserve">      Revisar: 1.5x a 3x el QUANTO</t>
  </si>
  <si>
    <t xml:space="preserve">      Alerta: mas de 3x el QUANTO</t>
  </si>
  <si>
    <t xml:space="preserve">  EJE ENTORNO (peso 8)</t>
  </si>
  <si>
    <t xml:space="preserve">   ENT1. Identidad: ¿la consulta es valida y consistente? (Tipo + correos nuevos) (max 3)</t>
  </si>
  <si>
    <t>PN &gt; Fin de Consulta 'Tipo': TIPO 1=apellido coincide y hay info (OK); TIPO 5=sin info; TIPO 6=apellido NO coincide; TIPO 7=cedula no existe. Mas correos nuevos en 12m = menor coherencia.</t>
  </si>
  <si>
    <t xml:space="preserve">      Tipo 1 + maximo 1 correo nuevo</t>
  </si>
  <si>
    <t xml:space="preserve">      Tipo 1 + 2 a 3 correos nuevos</t>
  </si>
  <si>
    <t xml:space="preserve">      Tipo 1 + 4 o mas correos nuevos</t>
  </si>
  <si>
    <t xml:space="preserve">      No es Tipo 1 (Tipo 5/6/7)</t>
  </si>
  <si>
    <t xml:space="preserve">   ENT2. Arraigo: ¿en cuantos departamentos ha rotado su ubicacion? (max 5)</t>
  </si>
  <si>
    <t>PN &gt; RECONOCER+ &gt; Direccion: cuente los DEPARTAMENTOS distintos (no las mudanzas dentro del mismo).</t>
  </si>
  <si>
    <t xml:space="preserve">      1 solo departamento (muy estable)</t>
  </si>
  <si>
    <t xml:space="preserve">      2 departamentos</t>
  </si>
  <si>
    <t xml:space="preserve">      3 departamentos</t>
  </si>
  <si>
    <t xml:space="preserve">      4 o mas departamentos</t>
  </si>
  <si>
    <t xml:space="preserve">   ENT3. Bancarizacion: cuentas activas con MAS de 1 año (anti-suplantacion)</t>
  </si>
  <si>
    <t>PN: cuente cuentas activas, digitales (Nequi/Daviplata/Dale) y tradicionales (ahorro/corriente AHO-CCB).</t>
  </si>
  <si>
    <t xml:space="preserve">      1 o mas cuentas con mas de 1 año = maxima calificacion (5)</t>
  </si>
  <si>
    <t xml:space="preserve">      Ninguna cuenta con mas de 1 año = puntaje muy bajo (1)</t>
  </si>
  <si>
    <t xml:space="preserve">      Sin cuentas activas = 0</t>
  </si>
  <si>
    <t xml:space="preserve">   ENT4. Formalidad: ¿tiene RUT o un contacto/empleador estable (&gt; 3 años)? (max 4)</t>
  </si>
  <si>
    <t>PN &gt; Informacion Basica 'Tiene RUT?' y RECONOCER+ antiguedad del contacto. Aplica sobre todo a independientes.</t>
  </si>
  <si>
    <t xml:space="preserve">      Tiene RUT/empleador, o contacto &gt; 3 anos</t>
  </si>
  <si>
    <t xml:space="preserve">      Contacto principal de 1 a 3 anos</t>
  </si>
  <si>
    <t xml:space="preserve">      Sin contacto estable / menos de 1 ano</t>
  </si>
  <si>
    <t xml:space="preserve">   ENT5. Apetito de credito: entidades distintas que lo consultaron en 30 dias (max 5)</t>
  </si>
  <si>
    <t>PN &gt; HISTORICO DE CONSULTAS: cuente entidades en 30 dias (excluya CIUDADANO y CONSULTAS LOTE). Muchas consultas = busca crédito en varios lados.</t>
  </si>
  <si>
    <t xml:space="preserve">      0 a 2 entidades en 30 dias</t>
  </si>
  <si>
    <t xml:space="preserve">      3 a 4 entidades</t>
  </si>
  <si>
    <t xml:space="preserve">      5 a 7 entidades</t>
  </si>
  <si>
    <t xml:space="preserve">      8 a 10 entidades</t>
  </si>
  <si>
    <t xml:space="preserve">      Mas de 10 entidades</t>
  </si>
  <si>
    <t xml:space="preserve">  Tope de monto cuando continua con castigada/mora pequena ($)</t>
  </si>
  <si>
    <t>Aplica cuando hay castigada o mora &lt;= umbral B23 y el analisis continua</t>
  </si>
  <si>
    <t xml:space="preserve">  MENSAJES TIPO COMITE ADICIONALES</t>
  </si>
  <si>
    <t xml:space="preserve">   9. Pagar oportunamente le permitira dejar las puertas abiertas con la compañia.</t>
  </si>
  <si>
    <t xml:space="preserve">   10. Esta iniciando su vida crediticia; Finalco le da un voto de confianza.</t>
  </si>
  <si>
    <t xml:space="preserve">   11. Ha tenido moras pasadas; no obstante, damos un voto de confianza en su pago oportuno.</t>
  </si>
  <si>
    <t xml:space="preserve">   12. Evidenciamos un endeudamiento que amerita revision interna para evitar quedar en mora.</t>
  </si>
  <si>
    <t xml:space="preserve">   13. Le recomendamos seguirnos en redes sociales y leer nuestro contenido de educacion financiera.</t>
  </si>
  <si>
    <t>Opcion</t>
  </si>
  <si>
    <t>Puntos</t>
  </si>
  <si>
    <t>Bajo: usa menos del 50% del cupo</t>
  </si>
  <si>
    <t>Medio: usa 50-80% del cupo</t>
  </si>
  <si>
    <t>Alto: usa 80-90% del cupo</t>
  </si>
  <si>
    <t>Muy alto: usa mas del 90% del cupo</t>
  </si>
  <si>
    <t>Comoda: cuota nueva &lt;= 20% de lo que ya paga</t>
  </si>
  <si>
    <t>Aceptable: 20-35%</t>
  </si>
  <si>
    <t>Ajustada: 35-50%</t>
  </si>
  <si>
    <t>Riesgosa: mas de 50% o hay mora</t>
  </si>
  <si>
    <t>Sano: $0 en mora</t>
  </si>
  <si>
    <t>Leve: $1 a $100.000</t>
  </si>
  <si>
    <t>Medio: $100.000 a $500.000</t>
  </si>
  <si>
    <t>Grave: mas de $500.000</t>
  </si>
  <si>
    <t>1 a 5 creditos</t>
  </si>
  <si>
    <t>6 a 8 creditos</t>
  </si>
  <si>
    <t>9 a 12 creditos</t>
  </si>
  <si>
    <t>Mas de 12 creditos</t>
  </si>
  <si>
    <t>Excelente: todo N (sin mora)</t>
  </si>
  <si>
    <t>Bueno: maximo un 1 (30 dias) aislado</t>
  </si>
  <si>
    <t>Regular: dos 1 o un 2 (60 dias)</t>
  </si>
  <si>
    <t>Malo: un 3 o 4 (90-120 dias)</t>
  </si>
  <si>
    <t>Critico: aparece D (dudoso) o C (castigada)</t>
  </si>
  <si>
    <t>Todas al dia</t>
  </si>
  <si>
    <t>Una en mora 30, las demas al dia</t>
  </si>
  <si>
    <t>Dos o mas en mora 30, o una en mora 60+</t>
  </si>
  <si>
    <t>Alguna castigada o en dudoso recaudo</t>
  </si>
  <si>
    <t>80-100% cerrados bien (Pago Vol/Saldado)</t>
  </si>
  <si>
    <t>60-79% cerrados bien</t>
  </si>
  <si>
    <t>40-59% cerrados bien</t>
  </si>
  <si>
    <t>Sin historial de cerradas</t>
  </si>
  <si>
    <t>Menos de 40% o hay 'Can. mal manejo'</t>
  </si>
  <si>
    <t>Muy puntual: 0 dias y suele prepagar</t>
  </si>
  <si>
    <t>Puntual: 0 dias (sin dato de prepago)</t>
  </si>
  <si>
    <t>Irregular: 1-2 meses con algun atraso</t>
  </si>
  <si>
    <t>Incumplido: varios NP (no pago)</t>
  </si>
  <si>
    <t>Todo N (nunca en mora)</t>
  </si>
  <si>
    <t>Llego a 1 (30 dias)</t>
  </si>
  <si>
    <t>Llego a 2 (60 dias)</t>
  </si>
  <si>
    <t>Llego a 3 o 4 (90-120 dias)</t>
  </si>
  <si>
    <t>Llego a C o D</t>
  </si>
  <si>
    <t>Siempre en $0</t>
  </si>
  <si>
    <t>Casi siempre $0 (un mes aislado pequeno)</t>
  </si>
  <si>
    <t>Tuvo mora pero viene bajando</t>
  </si>
  <si>
    <t>Mora estable o creciendo</t>
  </si>
  <si>
    <t>Todas A</t>
  </si>
  <si>
    <t>Mezcla A y B</t>
  </si>
  <si>
    <t>Hay C, o sin Calf</t>
  </si>
  <si>
    <t>Hay D o E</t>
  </si>
  <si>
    <t>Mas de 5 anos</t>
  </si>
  <si>
    <t>2 a 5 anos</t>
  </si>
  <si>
    <t>1 a 2 anos</t>
  </si>
  <si>
    <t>Menos de 1 ano</t>
  </si>
  <si>
    <t>Positivo y cubre el colchon de imprevistos</t>
  </si>
  <si>
    <t>Positivo pero ajustado (no cubre colchon)</t>
  </si>
  <si>
    <t>Queda en cero o negativo leve</t>
  </si>
  <si>
    <t>Negativo</t>
  </si>
  <si>
    <t>Liviana: menos de 20%</t>
  </si>
  <si>
    <t>Bien: 20-30%</t>
  </si>
  <si>
    <t>Pesada: 30-40%</t>
  </si>
  <si>
    <t>Excesiva: mas de 40%</t>
  </si>
  <si>
    <t>Menos de 50%</t>
  </si>
  <si>
    <t>50-80%</t>
  </si>
  <si>
    <t>80-100%</t>
  </si>
  <si>
    <t>Mas de 100%</t>
  </si>
  <si>
    <t>Coherente: declarado &lt;= QUANTO</t>
  </si>
  <si>
    <t>Aceptable: hasta 1.5x el QUANTO</t>
  </si>
  <si>
    <t>Revisar: 1.5x a 3x el QUANTO</t>
  </si>
  <si>
    <t>Alerta: mas de 3x el QUANTO</t>
  </si>
  <si>
    <t>Tipo 1 + maximo 1 correo nuevo</t>
  </si>
  <si>
    <t>Tipo 1 + 2 a 3 correos nuevos</t>
  </si>
  <si>
    <t>Tipo 1 + 4 o mas correos nuevos</t>
  </si>
  <si>
    <t>No es Tipo 1 (Tipo 5/6/7)</t>
  </si>
  <si>
    <t>1 solo departamento (muy estable)</t>
  </si>
  <si>
    <t>2 departamentos</t>
  </si>
  <si>
    <t>3 departamentos</t>
  </si>
  <si>
    <t>4 o mas departamentos</t>
  </si>
  <si>
    <t>1 o mas cuentas activas con MAS de 1 año</t>
  </si>
  <si>
    <t>Ninguna cuenta activa con mas de 1 año (solo recientes)</t>
  </si>
  <si>
    <t>Sin cuentas activas</t>
  </si>
  <si>
    <t>Tiene RUT/empleador, o contacto &gt; 3 anos</t>
  </si>
  <si>
    <t>Contacto principal de 1 a 3 anos</t>
  </si>
  <si>
    <t>Sin contacto estable / menos de 1 ano</t>
  </si>
  <si>
    <t>0 a 2 entidades en 30 dias</t>
  </si>
  <si>
    <t>3 a 4 entidades</t>
  </si>
  <si>
    <t>5 a 7 entidades</t>
  </si>
  <si>
    <t>8 a 10 entidades</t>
  </si>
  <si>
    <t>Mas de 10 entidades</t>
  </si>
  <si>
    <t>Begini</t>
  </si>
  <si>
    <t>Ajuste</t>
  </si>
  <si>
    <t>Cotizante activo (contributivo)</t>
  </si>
  <si>
    <t>Regimen de excepcion / especial</t>
  </si>
  <si>
    <t>Independiente con PILA / Subsidiado activo</t>
  </si>
  <si>
    <t>Retirado, suspendido o sin afiliacion</t>
  </si>
  <si>
    <t>Si - vehiculo/patrimonio a su nombre verificado</t>
  </si>
  <si>
    <t>No / no verificable</t>
  </si>
  <si>
    <t>Sin tarjetas de credito</t>
  </si>
  <si>
    <t>TDC bajo: usa menos del 30% del cupo</t>
  </si>
  <si>
    <t>TDC medio: 30-60%</t>
  </si>
  <si>
    <t>TDC alto: 60-90%</t>
  </si>
  <si>
    <t>TDC al tope: mas del 90% (sin opciones)</t>
  </si>
  <si>
    <t>Al dia (sin atrasos)</t>
  </si>
  <si>
    <t>Atrasos leves (1-2 meses)</t>
  </si>
  <si>
    <t>Atrasos serios / en mora</t>
  </si>
  <si>
    <t>Sin telco</t>
  </si>
  <si>
    <t>COMO SE CALCULA EL PUNTAJE  ·  Pesos de los ejes</t>
  </si>
  <si>
    <t>El puntaje es un PROMEDIO PONDERADO: como el promedio del semestre donde cada materia vale distintos creditos.</t>
  </si>
  <si>
    <t>LA IDEA EN UNA FRASE</t>
  </si>
  <si>
    <t>Cada eje se califica sobre SU PROPIO MAXIMO (saca un %). Ese % se multiplica por su PESO, se suman todos y se divide por la SUMA DE LOS PESOS. Por eso el resultado siempre queda entre 0 y 100, aunque los pesos no sumen 100.</t>
  </si>
  <si>
    <t>LOS 3 PASOS</t>
  </si>
  <si>
    <t>1) Saca el % de cada eje  =  puntos obtenidos / puntos maximos del eje.</t>
  </si>
  <si>
    <t>2) Pondera  =  ese %  x  el peso del eje.</t>
  </si>
  <si>
    <t>3) Normaliza  =  suma todo  /  (suma de los pesos)  x 100.</t>
  </si>
  <si>
    <t>FORMULA:</t>
  </si>
  <si>
    <t>Puntaje = [ Σ (puntos_eje / maximo_eje x peso_eje) ] / (suma de pesos) x 100</t>
  </si>
  <si>
    <t>EJEMPLO SIMPLE (2 ejes, pesos que NO suman 100)</t>
  </si>
  <si>
    <t>Eje</t>
  </si>
  <si>
    <t>Maximo</t>
  </si>
  <si>
    <t>% del eje</t>
  </si>
  <si>
    <t>Peso</t>
  </si>
  <si>
    <t>Aporte (% x peso)</t>
  </si>
  <si>
    <t>Comportamiento</t>
  </si>
  <si>
    <t>Flujo</t>
  </si>
  <si>
    <t>SUMA</t>
  </si>
  <si>
    <t>50</t>
  </si>
  <si>
    <t>Puntaje = 3400 / 50 = 68  -&gt;  68 / 100</t>
  </si>
  <si>
    <t>Los pesos sumaban 50 (no 100) y aun asi la nota quedo en escala 0-100. Eso es la NORMALIZACION.</t>
  </si>
  <si>
    <t>EL TRUCO: si pones un peso en 0, ese eje desaparece solo</t>
  </si>
  <si>
    <t>Con Flujo = 0: Puntaje = (80% x 30) / 30 = 80. El motor reparte solo entre los ejes que quedan, sin tocar ninguna formula. Por eso puedes recalibrar los pesos en la hoja Reglas cuando quieras.</t>
  </si>
  <si>
    <t>TUS 4 EJES REALES (ejemplo caso Villa)</t>
  </si>
  <si>
    <t>Pesos por defecto: Capacidad 30 · Comportamiento 30 · Flujo 20 · Entorno 8  (suman 88, y no importa).</t>
  </si>
  <si>
    <t>Capacidad</t>
  </si>
  <si>
    <t>Entorno</t>
  </si>
  <si>
    <t>Puntaje base = 65.5 / 88 x 100 = 74.4  (luego se suman Begini, ADRES, etc.)</t>
  </si>
  <si>
    <t>EN POCAS PALABRAS</t>
  </si>
  <si>
    <t>No importa que los pesos sumen 100. Lo que importa es la PROPORCION entre ellos (Comportamiento pesa igual que Capacidad, Flujo un poco menos, Entorno poco). La division final por la suma de pesos vuelve todo a una nota de 0 a 100.</t>
  </si>
  <si>
    <t>Vigente</t>
  </si>
  <si>
    <t>Estudio</t>
  </si>
  <si>
    <t>Sin experiencia</t>
  </si>
  <si>
    <t>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</si>
</sst>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_-;\-* #,##0_-;_-* \-??_-;_-@_-"/>
    <numFmt numFmtId="165" formatCode="_ &quot;$ &quot;* #,##0_ ;_ &quot;$ &quot;* \-#,##0_ ;_ &quot;$ &quot;* \-??_ ;_ @_ "/>
    <numFmt numFmtId="166" formatCode="_-\$* #,##0_-;&quot;-$&quot;* #,##0_-;_-\$* \-_-;_-@_-"/>
    <numFmt numFmtId="167" formatCode="_(&quot;$ &quot;* #,##0_);_(&quot;$ &quot;* \(#,##0\);_(&quot;$ &quot;* \-??_);_(@_)"/>
    <numFmt numFmtId="168" formatCode="mmm"/>
    <numFmt numFmtId="169" formatCode="_-\$* #,##0_-;&quot;-$&quot;* #,##0_-;_-\$* \-??_-;_-@_-"/>
    <numFmt numFmtId="170" formatCode="m/d/yyyy"/>
    <numFmt numFmtId="171" formatCode="0.0%"/>
    <numFmt numFmtId="172" formatCode="dd/mm/yyyy"/>
    <numFmt numFmtId="173" formatCode="_-* #,##0.0_-;\-* #,##0.0_-;_-* \-??_-;_-@_-"/>
    <numFmt numFmtId="174" formatCode="0.0"/>
    <numFmt numFmtId="175" formatCode="yyyy/mm/dd"/>
  </numFmts>
  <fonts count="38" x14ac:knownFonts="1">
    <font>
      <sz val="11"/>
      <color theme="1"/>
      <name val="Calibri"/>
      <family val="2"/>
      <charset val="1"/>
    </font>
    <font>
      <sz val="10"/>
      <name val="Arial"/>
      <family val="2"/>
      <charset val="1"/>
    </font>
    <font>
      <sz val="10"/>
      <color rgb="FFFFFFFF"/>
      <name val="Calibri"/>
      <family val="2"/>
      <charset val="1"/>
    </font>
    <font>
      <sz val="10"/>
      <name val="Calibri"/>
      <family val="2"/>
      <charset val="1"/>
    </font>
    <font>
      <b/>
      <sz val="16"/>
      <color theme="0" tint="-4.9989318521683403E-2"/>
      <name val="Calibri"/>
      <family val="2"/>
      <charset val="1"/>
    </font>
    <font>
      <b/>
      <sz val="14"/>
      <color theme="0" tint="-4.9989318521683403E-2"/>
      <name val="Calibri"/>
      <family val="2"/>
      <charset val="1"/>
    </font>
    <font>
      <b/>
      <sz val="8"/>
      <name val="Calibri"/>
      <family val="2"/>
      <charset val="1"/>
    </font>
    <font>
      <b/>
      <sz val="11"/>
      <color theme="0"/>
      <name val="Calibri"/>
      <family val="2"/>
      <charset val="1"/>
    </font>
    <font>
      <b/>
      <sz val="10"/>
      <color theme="0"/>
      <name val="Calibri"/>
      <family val="2"/>
      <charset val="1"/>
    </font>
    <font>
      <b/>
      <sz val="10"/>
      <color rgb="FF000000"/>
      <name val="Calibri"/>
      <charset val="1"/>
    </font>
    <font>
      <b/>
      <sz val="10"/>
      <name val="Calibri"/>
      <family val="2"/>
      <charset val="1"/>
    </font>
    <font>
      <sz val="9"/>
      <name val="Calibri"/>
      <family val="2"/>
      <charset val="1"/>
    </font>
    <font>
      <b/>
      <sz val="14"/>
      <color theme="0"/>
      <name val="Calibri"/>
      <family val="2"/>
      <charset val="1"/>
    </font>
    <font>
      <sz val="10"/>
      <color theme="1" tint="0.14999847407452621"/>
      <name val="Calibri"/>
      <family val="2"/>
      <charset val="1"/>
    </font>
    <font>
      <sz val="10"/>
      <color theme="0"/>
      <name val="Calibri"/>
      <family val="2"/>
      <charset val="1"/>
    </font>
    <font>
      <b/>
      <sz val="9"/>
      <color theme="0"/>
      <name val="Calibri"/>
      <family val="2"/>
      <charset val="1"/>
    </font>
    <font>
      <b/>
      <sz val="14"/>
      <color rgb="FFFFFFFF"/>
      <name val="Calibri"/>
      <family val="2"/>
      <charset val="1"/>
    </font>
    <font>
      <i/>
      <sz val="8"/>
      <color rgb="FF808080"/>
      <name val="Calibri"/>
      <charset val="1"/>
    </font>
    <font>
      <b/>
      <sz val="11"/>
      <color rgb="FFFFFFFF"/>
      <name val="Calibri"/>
      <charset val="1"/>
    </font>
    <font>
      <sz val="10"/>
      <color rgb="FF000000"/>
      <name val="Calibri"/>
      <charset val="1"/>
    </font>
    <font>
      <sz val="10"/>
      <color rgb="FF000000"/>
      <name val="Calibri"/>
      <family val="2"/>
      <charset val="1"/>
    </font>
    <font>
      <i/>
      <sz val="8"/>
      <color rgb="FF808080"/>
      <name val="Calibri"/>
      <family val="2"/>
      <charset val="1"/>
    </font>
    <font>
      <b/>
      <sz val="11"/>
      <color rgb="FFFFFFFF"/>
      <name val="Calibri"/>
      <family val="2"/>
      <charset val="1"/>
    </font>
    <font>
      <sz val="10"/>
      <name val="Arial"/>
      <family val="2"/>
    </font>
    <font>
      <sz val="10"/>
      <color theme="1"/>
      <name val="Calibri"/>
      <family val="2"/>
      <charset val="1"/>
    </font>
    <font>
      <b/>
      <sz val="10"/>
      <color theme="1"/>
      <name val="Calibri"/>
      <family val="2"/>
      <charset val="1"/>
    </font>
    <font>
      <b/>
      <sz val="10"/>
      <color rgb="FF000000"/>
      <name val="Calibri"/>
      <family val="2"/>
      <charset val="1"/>
    </font>
    <font>
      <b/>
      <sz val="14"/>
      <color rgb="FFFFFFFF"/>
      <name val="Calibri"/>
      <charset val="1"/>
    </font>
    <font>
      <b/>
      <sz val="10"/>
      <color rgb="FFFFFFFF"/>
      <name val="Calibri"/>
      <charset val="1"/>
    </font>
    <font>
      <b/>
      <sz val="10"/>
      <color rgb="FFC00000"/>
      <name val="Calibri"/>
      <charset val="1"/>
    </font>
    <font>
      <b/>
      <sz val="11"/>
      <color theme="1"/>
      <name val="Calibri"/>
      <family val="2"/>
      <charset val="1"/>
    </font>
    <font>
      <b/>
      <sz val="10"/>
      <color theme="0"/>
      <name val="Arial"/>
      <family val="2"/>
      <charset val="1"/>
    </font>
    <font>
      <u/>
      <sz val="11"/>
      <color theme="10"/>
      <name val="Calibri"/>
      <family val="2"/>
      <charset val="1"/>
    </font>
    <font>
      <sz val="10.5"/>
      <color theme="1"/>
      <name val="Calibri"/>
      <family val="2"/>
      <charset val="1"/>
    </font>
    <font>
      <b/>
      <sz val="10.5"/>
      <color theme="1"/>
      <name val="Calibri"/>
      <family val="2"/>
      <charset val="1"/>
    </font>
    <font>
      <b/>
      <sz val="15"/>
      <color rgb="FFFFFFFF"/>
      <name val="Calibri"/>
      <charset val="1"/>
    </font>
    <font>
      <i/>
      <sz val="9"/>
      <color rgb="FF808080"/>
      <name val="Calibri"/>
      <charset val="1"/>
    </font>
    <font>
      <sz val="11"/>
      <color theme="1"/>
      <name val="Calibri"/>
      <family val="2"/>
      <charset val="1"/>
    </font>
  </fonts>
  <fills count="15">
    <fill>
      <patternFill patternType="none"/>
    </fill>
    <fill>
      <patternFill patternType="gray125"/>
    </fill>
    <fill>
      <patternFill patternType="solid">
        <fgColor theme="0"/>
        <bgColor rgb="FFF2F2F2"/>
      </patternFill>
    </fill>
    <fill>
      <patternFill patternType="solid">
        <fgColor theme="0" tint="-4.9989318521683403E-2"/>
        <bgColor rgb="FFEDEDED"/>
      </patternFill>
    </fill>
    <fill>
      <patternFill patternType="solid">
        <fgColor rgb="FF0D223F"/>
        <bgColor rgb="FF002060"/>
      </patternFill>
    </fill>
    <fill>
      <patternFill patternType="solid">
        <fgColor theme="0" tint="-0.499984740745262"/>
        <bgColor rgb="FF969696"/>
      </patternFill>
    </fill>
    <fill>
      <patternFill patternType="solid">
        <fgColor rgb="FFFFF2CC"/>
        <bgColor rgb="FFFCE4D6"/>
      </patternFill>
    </fill>
    <fill>
      <patternFill patternType="solid">
        <fgColor theme="4" tint="0.59987182226020086"/>
        <bgColor rgb="FFBFBFBF"/>
      </patternFill>
    </fill>
    <fill>
      <patternFill patternType="solid">
        <fgColor theme="0" tint="-0.14999847407452621"/>
        <bgColor rgb="FFDCE6F2"/>
      </patternFill>
    </fill>
    <fill>
      <patternFill patternType="solid">
        <fgColor rgb="FFEAEAEA"/>
        <bgColor rgb="FFEDEDED"/>
      </patternFill>
    </fill>
    <fill>
      <patternFill patternType="solid">
        <fgColor rgb="FF0070C0"/>
        <bgColor rgb="FF008080"/>
      </patternFill>
    </fill>
    <fill>
      <patternFill patternType="solid">
        <fgColor theme="4" tint="0.79989013336588644"/>
        <bgColor rgb="FFEAEAEA"/>
      </patternFill>
    </fill>
    <fill>
      <patternFill patternType="solid">
        <fgColor rgb="FF002060"/>
        <bgColor rgb="FF0D223F"/>
      </patternFill>
    </fill>
    <fill>
      <patternFill patternType="solid">
        <fgColor rgb="FFE2EFDA"/>
        <bgColor rgb="FFEAEAEA"/>
      </patternFill>
    </fill>
    <fill>
      <patternFill patternType="solid">
        <fgColor rgb="FFFFFF00"/>
        <bgColor rgb="FFFFFF00"/>
      </patternFill>
    </fill>
  </fills>
  <borders count="45">
    <border>
      <left/>
      <right/>
      <top/>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thin">
        <color auto="1"/>
      </left>
      <right style="thin">
        <color auto="1"/>
      </right>
      <top/>
      <bottom/>
      <diagonal/>
    </border>
    <border>
      <left style="thin">
        <color rgb="FFBFBFBF"/>
      </left>
      <right style="thin">
        <color rgb="FFBFBFBF"/>
      </right>
      <top style="thin">
        <color rgb="FFBFBFBF"/>
      </top>
      <bottom style="thin">
        <color rgb="FFBFBFBF"/>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FBFBF"/>
      </left>
      <right style="thin">
        <color auto="1"/>
      </right>
      <top style="thin">
        <color rgb="FFBFBFBF"/>
      </top>
      <bottom style="thin">
        <color auto="1"/>
      </bottom>
      <diagonal/>
    </border>
    <border>
      <left style="medium">
        <color auto="1"/>
      </left>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style="thin">
        <color rgb="FFBFBFBF"/>
      </right>
      <top style="thin">
        <color auto="1"/>
      </top>
      <bottom style="thin">
        <color rgb="FFBFBFBF"/>
      </bottom>
      <diagonal/>
    </border>
    <border>
      <left style="thin">
        <color rgb="FFBFBFBF"/>
      </left>
      <right style="thin">
        <color rgb="FFBFBFBF"/>
      </right>
      <top style="thin">
        <color rgb="FFBFBFBF"/>
      </top>
      <bottom style="thin">
        <color auto="1"/>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thin">
        <color auto="1"/>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s>
  <cellStyleXfs count="5">
    <xf numFmtId="0" fontId="0" fillId="0" borderId="0"/>
    <xf numFmtId="164" fontId="1" fillId="0" borderId="0"/>
    <xf numFmtId="0" fontId="1" fillId="0" borderId="0"/>
    <xf numFmtId="0" fontId="37" fillId="0" borderId="0"/>
    <xf numFmtId="9" fontId="1" fillId="0" borderId="0"/>
  </cellStyleXfs>
  <cellXfs count="310">
    <xf numFmtId="0" fontId="0" fillId="0" borderId="0" xfId="0"/>
    <xf numFmtId="0" fontId="3" fillId="2" borderId="17" xfId="0" applyFont="1" applyFill="1" applyBorder="1" applyAlignment="1" applyProtection="1">
      <alignment horizontal="left"/>
      <protection locked="0"/>
    </xf>
    <xf numFmtId="0" fontId="3" fillId="2" borderId="16" xfId="0" applyFont="1" applyFill="1" applyBorder="1" applyAlignment="1" applyProtection="1">
      <alignment horizontal="left"/>
      <protection locked="0"/>
    </xf>
    <xf numFmtId="0" fontId="9" fillId="6" borderId="15" xfId="0" applyFont="1" applyFill="1" applyBorder="1" applyAlignment="1" applyProtection="1">
      <alignment horizontal="center" vertical="center"/>
      <protection locked="0"/>
    </xf>
    <xf numFmtId="10" fontId="3" fillId="7" borderId="6" xfId="0" applyNumberFormat="1" applyFont="1" applyFill="1" applyBorder="1" applyAlignment="1">
      <alignment horizontal="center"/>
    </xf>
    <xf numFmtId="0" fontId="3" fillId="2" borderId="13" xfId="0" applyFont="1" applyFill="1" applyBorder="1" applyAlignment="1" applyProtection="1">
      <alignment horizontal="left"/>
      <protection locked="0"/>
    </xf>
    <xf numFmtId="0" fontId="11" fillId="2" borderId="0" xfId="0" applyFont="1" applyFill="1" applyAlignment="1" applyProtection="1">
      <alignment horizontal="center" vertical="center" wrapText="1"/>
      <protection locked="0"/>
    </xf>
    <xf numFmtId="165" fontId="10" fillId="0" borderId="10" xfId="0" applyNumberFormat="1" applyFont="1" applyBorder="1" applyAlignment="1">
      <alignment horizontal="right"/>
    </xf>
    <xf numFmtId="0" fontId="3" fillId="2" borderId="9" xfId="0" applyFont="1" applyFill="1" applyBorder="1" applyAlignment="1" applyProtection="1">
      <alignment horizontal="left"/>
      <protection locked="0"/>
    </xf>
    <xf numFmtId="0" fontId="9" fillId="6" borderId="7" xfId="0" applyFont="1" applyFill="1" applyBorder="1" applyAlignment="1" applyProtection="1">
      <alignment horizontal="center" vertical="center"/>
      <protection locked="0"/>
    </xf>
    <xf numFmtId="165" fontId="8" fillId="4" borderId="6" xfId="0" applyNumberFormat="1" applyFont="1" applyFill="1" applyBorder="1" applyAlignment="1" applyProtection="1">
      <alignment horizontal="center" vertical="center"/>
      <protection locked="0"/>
    </xf>
    <xf numFmtId="0" fontId="7" fillId="4" borderId="5" xfId="0" applyFont="1" applyFill="1" applyBorder="1" applyAlignment="1" applyProtection="1">
      <alignment horizontal="center" vertical="center"/>
      <protection locked="0"/>
    </xf>
    <xf numFmtId="0" fontId="3" fillId="2" borderId="3" xfId="0" applyFont="1" applyFill="1" applyBorder="1" applyAlignment="1" applyProtection="1">
      <alignment horizontal="center"/>
      <protection locked="0"/>
    </xf>
    <xf numFmtId="0" fontId="5" fillId="5" borderId="2" xfId="0" applyFont="1" applyFill="1" applyBorder="1" applyAlignment="1" applyProtection="1">
      <alignment horizontal="center" vertical="center" wrapText="1"/>
      <protection locked="0"/>
    </xf>
    <xf numFmtId="0" fontId="4" fillId="4" borderId="1" xfId="0" applyFont="1" applyFill="1" applyBorder="1" applyAlignment="1" applyProtection="1">
      <alignment horizontal="center" vertical="center" wrapText="1"/>
      <protection locked="0"/>
    </xf>
    <xf numFmtId="0" fontId="2" fillId="2" borderId="0" xfId="0" applyFont="1" applyFill="1" applyProtection="1">
      <protection locked="0"/>
    </xf>
    <xf numFmtId="0" fontId="3" fillId="2" borderId="0" xfId="0" applyFont="1" applyFill="1" applyAlignment="1" applyProtection="1">
      <alignment horizontal="center"/>
      <protection locked="0"/>
    </xf>
    <xf numFmtId="0" fontId="3" fillId="2" borderId="0" xfId="0" applyFont="1" applyFill="1" applyAlignment="1" applyProtection="1">
      <alignment horizontal="right"/>
      <protection locked="0"/>
    </xf>
    <xf numFmtId="165" fontId="3" fillId="2" borderId="0" xfId="0" applyNumberFormat="1" applyFont="1" applyFill="1" applyAlignment="1" applyProtection="1">
      <alignment horizontal="center"/>
      <protection locked="0"/>
    </xf>
    <xf numFmtId="0" fontId="3" fillId="2" borderId="0" xfId="0" applyFont="1" applyFill="1" applyProtection="1">
      <protection locked="0"/>
    </xf>
    <xf numFmtId="165" fontId="3" fillId="2" borderId="0" xfId="0" applyNumberFormat="1" applyFont="1" applyFill="1" applyProtection="1">
      <protection locked="0"/>
    </xf>
    <xf numFmtId="0" fontId="3" fillId="3" borderId="0" xfId="0" applyFont="1" applyFill="1" applyProtection="1">
      <protection locked="0"/>
    </xf>
    <xf numFmtId="0" fontId="0" fillId="0" borderId="0" xfId="0" applyProtection="1">
      <protection locked="0"/>
    </xf>
    <xf numFmtId="0" fontId="6" fillId="2" borderId="0" xfId="0" applyFont="1" applyFill="1" applyAlignment="1" applyProtection="1">
      <alignment horizontal="center" vertical="center" wrapText="1"/>
      <protection locked="0"/>
    </xf>
    <xf numFmtId="0" fontId="3" fillId="2" borderId="4" xfId="0" applyFont="1" applyFill="1" applyBorder="1" applyProtection="1">
      <protection locked="0"/>
    </xf>
    <xf numFmtId="0" fontId="3" fillId="0" borderId="0" xfId="0" applyFont="1" applyAlignment="1" applyProtection="1">
      <alignment horizontal="left"/>
      <protection locked="0"/>
    </xf>
    <xf numFmtId="0" fontId="9" fillId="6" borderId="7" xfId="0" applyFont="1" applyFill="1" applyBorder="1" applyAlignment="1" applyProtection="1">
      <alignment horizontal="center" vertical="center"/>
      <protection locked="0"/>
    </xf>
    <xf numFmtId="0" fontId="3" fillId="2" borderId="8" xfId="0" applyFont="1" applyFill="1" applyBorder="1" applyAlignment="1" applyProtection="1">
      <alignment horizontal="center"/>
      <protection locked="0"/>
    </xf>
    <xf numFmtId="4" fontId="3" fillId="2" borderId="11" xfId="0" applyNumberFormat="1" applyFont="1" applyFill="1" applyBorder="1" applyAlignment="1" applyProtection="1">
      <alignment horizontal="center" vertical="center"/>
      <protection locked="0"/>
    </xf>
    <xf numFmtId="10" fontId="3" fillId="7" borderId="10" xfId="0" applyNumberFormat="1" applyFont="1" applyFill="1" applyBorder="1" applyAlignment="1" applyProtection="1">
      <alignment horizontal="center" vertical="center"/>
      <protection locked="0"/>
    </xf>
    <xf numFmtId="0" fontId="3" fillId="2" borderId="12" xfId="0" applyFont="1" applyFill="1" applyBorder="1" applyProtection="1">
      <protection locked="0"/>
    </xf>
    <xf numFmtId="4" fontId="3" fillId="2" borderId="10" xfId="0" applyNumberFormat="1" applyFont="1" applyFill="1" applyBorder="1" applyAlignment="1" applyProtection="1">
      <alignment horizontal="center"/>
      <protection locked="0"/>
    </xf>
    <xf numFmtId="10" fontId="3" fillId="2" borderId="14" xfId="0" applyNumberFormat="1" applyFont="1" applyFill="1" applyBorder="1" applyAlignment="1">
      <alignment horizontal="center"/>
    </xf>
    <xf numFmtId="1" fontId="10" fillId="8" borderId="12" xfId="0" applyNumberFormat="1" applyFont="1" applyFill="1" applyBorder="1" applyAlignment="1" applyProtection="1">
      <alignment horizontal="center"/>
      <protection locked="0"/>
    </xf>
    <xf numFmtId="10" fontId="3" fillId="2" borderId="10" xfId="0" applyNumberFormat="1" applyFont="1" applyFill="1" applyBorder="1" applyAlignment="1">
      <alignment horizontal="center"/>
    </xf>
    <xf numFmtId="0" fontId="11" fillId="2" borderId="14" xfId="0" applyFont="1" applyFill="1" applyBorder="1" applyAlignment="1" applyProtection="1">
      <alignment horizontal="center" vertical="center"/>
      <protection locked="0"/>
    </xf>
    <xf numFmtId="10" fontId="10" fillId="2" borderId="10" xfId="0" applyNumberFormat="1" applyFont="1" applyFill="1" applyBorder="1" applyAlignment="1">
      <alignment horizontal="center"/>
    </xf>
    <xf numFmtId="166" fontId="3" fillId="2" borderId="18" xfId="0" applyNumberFormat="1" applyFont="1" applyFill="1" applyBorder="1"/>
    <xf numFmtId="0" fontId="3" fillId="9" borderId="3" xfId="0" applyFont="1" applyFill="1" applyBorder="1" applyProtection="1">
      <protection locked="0"/>
    </xf>
    <xf numFmtId="0" fontId="3" fillId="9" borderId="0" xfId="0" applyFont="1" applyFill="1" applyProtection="1">
      <protection locked="0"/>
    </xf>
    <xf numFmtId="0" fontId="11" fillId="9" borderId="19" xfId="0" applyFont="1" applyFill="1" applyBorder="1" applyAlignment="1" applyProtection="1">
      <alignment vertical="center" wrapText="1"/>
      <protection locked="0"/>
    </xf>
    <xf numFmtId="0" fontId="11" fillId="9" borderId="0" xfId="0" applyFont="1" applyFill="1" applyAlignment="1" applyProtection="1">
      <alignment vertical="center" wrapText="1"/>
      <protection locked="0"/>
    </xf>
    <xf numFmtId="0" fontId="3" fillId="2" borderId="3" xfId="0" applyFont="1" applyFill="1" applyBorder="1" applyProtection="1">
      <protection locked="0"/>
    </xf>
    <xf numFmtId="0" fontId="11" fillId="2" borderId="0" xfId="0" applyFont="1" applyFill="1" applyAlignment="1" applyProtection="1">
      <alignment vertical="center" wrapText="1"/>
      <protection locked="0"/>
    </xf>
    <xf numFmtId="0" fontId="13" fillId="2" borderId="3" xfId="0" applyFont="1" applyFill="1" applyBorder="1" applyProtection="1">
      <protection locked="0"/>
    </xf>
    <xf numFmtId="0" fontId="2" fillId="2" borderId="4" xfId="0" applyFont="1" applyFill="1" applyBorder="1" applyProtection="1">
      <protection locked="0"/>
    </xf>
    <xf numFmtId="0" fontId="10" fillId="3" borderId="3" xfId="0" applyFont="1" applyFill="1" applyBorder="1" applyAlignment="1" applyProtection="1">
      <alignment wrapText="1"/>
      <protection locked="0"/>
    </xf>
    <xf numFmtId="0" fontId="10" fillId="3" borderId="0" xfId="0" applyFont="1" applyFill="1" applyAlignment="1" applyProtection="1">
      <alignment wrapText="1"/>
      <protection locked="0"/>
    </xf>
    <xf numFmtId="0" fontId="14" fillId="2" borderId="0" xfId="0" applyFont="1" applyFill="1" applyAlignment="1" applyProtection="1">
      <alignment horizontal="center" vertical="center"/>
      <protection locked="0"/>
    </xf>
    <xf numFmtId="0" fontId="8" fillId="10" borderId="20" xfId="0" applyFont="1" applyFill="1" applyBorder="1" applyAlignment="1" applyProtection="1">
      <alignment horizontal="center" vertical="center"/>
      <protection locked="0"/>
    </xf>
    <xf numFmtId="165" fontId="8" fillId="10" borderId="10" xfId="0" applyNumberFormat="1" applyFont="1" applyFill="1" applyBorder="1" applyAlignment="1" applyProtection="1">
      <alignment vertical="center" wrapText="1"/>
      <protection locked="0"/>
    </xf>
    <xf numFmtId="0" fontId="8" fillId="10" borderId="21" xfId="0" applyFont="1" applyFill="1" applyBorder="1" applyAlignment="1" applyProtection="1">
      <alignment horizontal="center" vertical="center"/>
      <protection locked="0"/>
    </xf>
    <xf numFmtId="165" fontId="15" fillId="10" borderId="21" xfId="0" applyNumberFormat="1" applyFont="1" applyFill="1" applyBorder="1" applyAlignment="1" applyProtection="1">
      <alignment horizontal="center" vertical="center" wrapText="1"/>
      <protection locked="0"/>
    </xf>
    <xf numFmtId="165" fontId="8" fillId="10" borderId="21" xfId="0" applyNumberFormat="1" applyFont="1" applyFill="1" applyBorder="1" applyAlignment="1" applyProtection="1">
      <alignment horizontal="center" vertical="center"/>
      <protection locked="0"/>
    </xf>
    <xf numFmtId="165" fontId="8" fillId="10" borderId="8" xfId="0" applyNumberFormat="1"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1" fontId="3" fillId="2" borderId="0" xfId="0" applyNumberFormat="1" applyFont="1" applyFill="1" applyAlignment="1" applyProtection="1">
      <alignment horizontal="right"/>
      <protection locked="0"/>
    </xf>
    <xf numFmtId="0" fontId="3" fillId="11" borderId="13" xfId="0" applyFont="1" applyFill="1" applyBorder="1" applyAlignment="1" applyProtection="1">
      <alignment horizontal="center"/>
      <protection locked="0"/>
    </xf>
    <xf numFmtId="0" fontId="14" fillId="2" borderId="11" xfId="0" applyFont="1" applyFill="1" applyBorder="1" applyAlignment="1">
      <alignment horizontal="right"/>
    </xf>
    <xf numFmtId="168" fontId="14" fillId="2" borderId="22" xfId="0" applyNumberFormat="1" applyFont="1" applyFill="1" applyBorder="1" applyAlignment="1">
      <alignment horizontal="right"/>
    </xf>
    <xf numFmtId="1" fontId="14" fillId="2" borderId="23" xfId="0" applyNumberFormat="1" applyFont="1" applyFill="1" applyBorder="1" applyAlignment="1">
      <alignment horizontal="right"/>
    </xf>
    <xf numFmtId="0" fontId="0" fillId="0" borderId="10" xfId="0" applyBorder="1" applyProtection="1">
      <protection locked="0"/>
    </xf>
    <xf numFmtId="0" fontId="0" fillId="0" borderId="24" xfId="0" applyBorder="1" applyProtection="1">
      <protection locked="0"/>
    </xf>
    <xf numFmtId="3" fontId="3" fillId="11" borderId="13" xfId="0" applyNumberFormat="1" applyFont="1" applyFill="1" applyBorder="1" applyAlignment="1">
      <alignment horizontal="center"/>
    </xf>
    <xf numFmtId="0" fontId="3" fillId="2" borderId="25" xfId="0" applyFont="1" applyFill="1" applyBorder="1" applyAlignment="1">
      <alignment horizontal="right"/>
    </xf>
    <xf numFmtId="168" fontId="3" fillId="2" borderId="22" xfId="0" applyNumberFormat="1" applyFont="1" applyFill="1" applyBorder="1" applyAlignment="1">
      <alignment horizontal="right"/>
    </xf>
    <xf numFmtId="1" fontId="3" fillId="2" borderId="23" xfId="0" applyNumberFormat="1" applyFont="1" applyFill="1" applyBorder="1" applyAlignment="1">
      <alignment horizontal="right"/>
    </xf>
    <xf numFmtId="165" fontId="3" fillId="2" borderId="10" xfId="0" applyNumberFormat="1" applyFont="1" applyFill="1" applyBorder="1"/>
    <xf numFmtId="165" fontId="3" fillId="11" borderId="24" xfId="0" applyNumberFormat="1" applyFont="1" applyFill="1" applyBorder="1"/>
    <xf numFmtId="165" fontId="8" fillId="10" borderId="10" xfId="0" applyNumberFormat="1" applyFont="1" applyFill="1" applyBorder="1" applyAlignment="1" applyProtection="1">
      <alignment horizontal="center"/>
      <protection locked="0"/>
    </xf>
    <xf numFmtId="165" fontId="8" fillId="10" borderId="27" xfId="0" applyNumberFormat="1" applyFont="1" applyFill="1" applyBorder="1" applyAlignment="1">
      <alignment horizontal="center" vertical="center"/>
    </xf>
    <xf numFmtId="165" fontId="8" fillId="10" borderId="28" xfId="0" applyNumberFormat="1" applyFont="1" applyFill="1" applyBorder="1" applyAlignment="1">
      <alignment horizontal="center" vertical="center"/>
    </xf>
    <xf numFmtId="0" fontId="17" fillId="0" borderId="0" xfId="0" applyFont="1" applyProtection="1">
      <protection locked="0"/>
    </xf>
    <xf numFmtId="0" fontId="18" fillId="10" borderId="0" xfId="0" applyFont="1" applyFill="1" applyProtection="1">
      <protection locked="0"/>
    </xf>
    <xf numFmtId="0" fontId="19" fillId="0" borderId="7" xfId="0" applyFont="1" applyBorder="1" applyProtection="1">
      <protection locked="0"/>
    </xf>
    <xf numFmtId="1" fontId="9" fillId="6" borderId="7" xfId="0" applyNumberFormat="1" applyFont="1" applyFill="1" applyBorder="1" applyAlignment="1" applyProtection="1">
      <alignment horizontal="center" vertical="center"/>
      <protection locked="0"/>
    </xf>
    <xf numFmtId="1" fontId="9" fillId="3" borderId="7" xfId="0" applyNumberFormat="1" applyFont="1" applyFill="1" applyBorder="1" applyAlignment="1">
      <alignment horizontal="center" vertical="center"/>
    </xf>
    <xf numFmtId="3" fontId="9" fillId="6" borderId="7" xfId="0" applyNumberFormat="1" applyFont="1" applyFill="1" applyBorder="1" applyAlignment="1" applyProtection="1">
      <alignment horizontal="center" vertical="center"/>
      <protection locked="0"/>
    </xf>
    <xf numFmtId="0" fontId="20" fillId="0" borderId="7" xfId="0" applyFont="1" applyBorder="1" applyProtection="1">
      <protection locked="0"/>
    </xf>
    <xf numFmtId="0" fontId="21" fillId="0" borderId="0" xfId="0" applyFont="1" applyProtection="1">
      <protection locked="0"/>
    </xf>
    <xf numFmtId="170" fontId="9" fillId="6" borderId="7" xfId="0" applyNumberFormat="1" applyFont="1" applyFill="1" applyBorder="1" applyAlignment="1" applyProtection="1">
      <alignment horizontal="center" vertical="center"/>
      <protection locked="0"/>
    </xf>
    <xf numFmtId="171" fontId="9" fillId="6" borderId="7" xfId="0" applyNumberFormat="1" applyFont="1" applyFill="1" applyBorder="1" applyAlignment="1" applyProtection="1">
      <alignment horizontal="center" vertical="center"/>
      <protection locked="0"/>
    </xf>
    <xf numFmtId="0" fontId="0" fillId="2" borderId="0" xfId="0" applyFill="1" applyProtection="1">
      <protection locked="0"/>
    </xf>
    <xf numFmtId="172" fontId="9" fillId="6" borderId="7" xfId="0" applyNumberFormat="1" applyFont="1" applyFill="1" applyBorder="1" applyAlignment="1" applyProtection="1">
      <alignment horizontal="center" vertical="center"/>
      <protection locked="0"/>
    </xf>
    <xf numFmtId="0" fontId="22" fillId="10" borderId="0" xfId="0" applyFont="1" applyFill="1" applyProtection="1">
      <protection locked="0"/>
    </xf>
    <xf numFmtId="1" fontId="9" fillId="3" borderId="7" xfId="0" applyNumberFormat="1" applyFont="1" applyFill="1" applyBorder="1" applyAlignment="1" applyProtection="1">
      <alignment horizontal="center" vertical="center"/>
      <protection locked="0"/>
    </xf>
    <xf numFmtId="0" fontId="0" fillId="2" borderId="0" xfId="0" applyFill="1"/>
    <xf numFmtId="0" fontId="9" fillId="0" borderId="0" xfId="0" applyFont="1" applyProtection="1">
      <protection locked="0"/>
    </xf>
    <xf numFmtId="0" fontId="19" fillId="13" borderId="0" xfId="0" applyFont="1" applyFill="1" applyProtection="1">
      <protection locked="0"/>
    </xf>
    <xf numFmtId="0" fontId="24" fillId="2" borderId="0" xfId="0" applyFont="1" applyFill="1"/>
    <xf numFmtId="0" fontId="24" fillId="2" borderId="0" xfId="0" applyFont="1" applyFill="1" applyProtection="1">
      <protection locked="0"/>
    </xf>
    <xf numFmtId="0" fontId="21" fillId="0" borderId="0" xfId="0" applyFont="1" applyAlignment="1" applyProtection="1">
      <alignment vertical="center"/>
      <protection locked="0"/>
    </xf>
    <xf numFmtId="0" fontId="17" fillId="0" borderId="0" xfId="0" applyFont="1" applyAlignment="1" applyProtection="1">
      <alignment vertical="center"/>
      <protection locked="0"/>
    </xf>
    <xf numFmtId="0" fontId="10" fillId="2" borderId="0" xfId="0" applyFont="1" applyFill="1" applyAlignment="1" applyProtection="1">
      <alignment horizontal="left"/>
      <protection locked="0"/>
    </xf>
    <xf numFmtId="0" fontId="8" fillId="2" borderId="0" xfId="0" applyFont="1" applyFill="1" applyAlignment="1" applyProtection="1">
      <alignment horizontal="center"/>
      <protection locked="0"/>
    </xf>
    <xf numFmtId="0" fontId="3" fillId="2" borderId="0" xfId="0" applyFont="1" applyFill="1" applyAlignment="1">
      <alignment horizontal="left" vertical="center"/>
    </xf>
    <xf numFmtId="0" fontId="3" fillId="2" borderId="0" xfId="0" applyFont="1" applyFill="1" applyAlignment="1" applyProtection="1">
      <alignment horizontal="left"/>
      <protection locked="0"/>
    </xf>
    <xf numFmtId="0" fontId="3" fillId="2" borderId="0" xfId="0" applyFont="1" applyFill="1" applyAlignment="1" applyProtection="1">
      <alignment horizontal="left" vertical="center"/>
      <protection locked="0"/>
    </xf>
    <xf numFmtId="0" fontId="8" fillId="10" borderId="29" xfId="0" applyFont="1" applyFill="1" applyBorder="1" applyAlignment="1" applyProtection="1">
      <alignment horizontal="center"/>
      <protection locked="0"/>
    </xf>
    <xf numFmtId="0" fontId="8" fillId="10" borderId="25" xfId="0" applyFont="1" applyFill="1" applyBorder="1" applyAlignment="1" applyProtection="1">
      <alignment horizontal="left"/>
      <protection locked="0"/>
    </xf>
    <xf numFmtId="0" fontId="24" fillId="2" borderId="21" xfId="0" applyFont="1" applyFill="1" applyBorder="1" applyProtection="1">
      <protection locked="0"/>
    </xf>
    <xf numFmtId="3" fontId="20" fillId="3" borderId="7" xfId="0" applyNumberFormat="1" applyFont="1" applyFill="1" applyBorder="1" applyAlignment="1" applyProtection="1">
      <alignment horizontal="center" vertical="center"/>
      <protection locked="0"/>
    </xf>
    <xf numFmtId="171" fontId="24" fillId="2" borderId="10" xfId="0" applyNumberFormat="1" applyFont="1" applyFill="1" applyBorder="1" applyProtection="1">
      <protection locked="0"/>
    </xf>
    <xf numFmtId="0" fontId="24" fillId="2" borderId="21" xfId="0" applyFont="1" applyFill="1" applyBorder="1" applyAlignment="1" applyProtection="1">
      <alignment horizontal="left" vertical="center" wrapText="1"/>
      <protection locked="0"/>
    </xf>
    <xf numFmtId="3" fontId="20" fillId="3" borderId="30" xfId="0" applyNumberFormat="1" applyFont="1" applyFill="1" applyBorder="1" applyAlignment="1" applyProtection="1">
      <alignment horizontal="center" vertical="center"/>
      <protection locked="0"/>
    </xf>
    <xf numFmtId="171" fontId="24" fillId="2" borderId="21" xfId="0" applyNumberFormat="1" applyFont="1" applyFill="1" applyBorder="1" applyProtection="1">
      <protection locked="0"/>
    </xf>
    <xf numFmtId="3" fontId="19" fillId="3" borderId="31" xfId="0" applyNumberFormat="1" applyFont="1" applyFill="1" applyBorder="1" applyAlignment="1">
      <alignment horizontal="center" vertical="center"/>
    </xf>
    <xf numFmtId="171" fontId="24" fillId="2" borderId="21" xfId="0" applyNumberFormat="1" applyFont="1" applyFill="1" applyBorder="1"/>
    <xf numFmtId="0" fontId="24" fillId="2" borderId="6" xfId="0" applyFont="1" applyFill="1" applyBorder="1" applyProtection="1">
      <protection locked="0"/>
    </xf>
    <xf numFmtId="3" fontId="20" fillId="6" borderId="7" xfId="0" applyNumberFormat="1" applyFont="1" applyFill="1" applyBorder="1" applyAlignment="1" applyProtection="1">
      <alignment horizontal="center" vertical="center"/>
      <protection locked="0"/>
    </xf>
    <xf numFmtId="171" fontId="24" fillId="2" borderId="6" xfId="0" applyNumberFormat="1" applyFont="1" applyFill="1" applyBorder="1"/>
    <xf numFmtId="3" fontId="19" fillId="3" borderId="7" xfId="0" applyNumberFormat="1" applyFont="1" applyFill="1" applyBorder="1" applyAlignment="1">
      <alignment horizontal="center" vertical="center"/>
    </xf>
    <xf numFmtId="0" fontId="25" fillId="2" borderId="14" xfId="0" applyFont="1" applyFill="1" applyBorder="1" applyProtection="1">
      <protection locked="0"/>
    </xf>
    <xf numFmtId="3" fontId="26" fillId="3" borderId="32" xfId="0" applyNumberFormat="1" applyFont="1" applyFill="1" applyBorder="1" applyAlignment="1">
      <alignment horizontal="center" vertical="center"/>
    </xf>
    <xf numFmtId="171" fontId="25" fillId="2" borderId="14" xfId="0" applyNumberFormat="1" applyFont="1" applyFill="1" applyBorder="1"/>
    <xf numFmtId="164" fontId="24" fillId="2" borderId="0" xfId="0" applyNumberFormat="1" applyFont="1" applyFill="1" applyProtection="1">
      <protection locked="0"/>
    </xf>
    <xf numFmtId="2" fontId="24" fillId="2" borderId="6" xfId="0" applyNumberFormat="1" applyFont="1" applyFill="1" applyBorder="1"/>
    <xf numFmtId="0" fontId="24" fillId="11" borderId="25" xfId="0" applyFont="1" applyFill="1" applyBorder="1" applyAlignment="1">
      <alignment horizontal="center" vertical="center"/>
    </xf>
    <xf numFmtId="0" fontId="24" fillId="2" borderId="25" xfId="0" applyFont="1" applyFill="1" applyBorder="1"/>
    <xf numFmtId="0" fontId="24" fillId="2" borderId="22" xfId="0" applyFont="1" applyFill="1" applyBorder="1"/>
    <xf numFmtId="169" fontId="24" fillId="2" borderId="21" xfId="0" applyNumberFormat="1" applyFont="1" applyFill="1" applyBorder="1"/>
    <xf numFmtId="0" fontId="24" fillId="11" borderId="33" xfId="0" applyFont="1" applyFill="1" applyBorder="1" applyAlignment="1">
      <alignment horizontal="center" vertical="center"/>
    </xf>
    <xf numFmtId="0" fontId="24" fillId="2" borderId="33" xfId="0" applyFont="1" applyFill="1" applyBorder="1"/>
    <xf numFmtId="169" fontId="24" fillId="2" borderId="6" xfId="0" applyNumberFormat="1" applyFont="1" applyFill="1" applyBorder="1"/>
    <xf numFmtId="164" fontId="24" fillId="2" borderId="6" xfId="0" applyNumberFormat="1" applyFont="1" applyFill="1" applyBorder="1"/>
    <xf numFmtId="0" fontId="14" fillId="2" borderId="0" xfId="0" applyFont="1" applyFill="1"/>
    <xf numFmtId="10" fontId="24" fillId="2" borderId="6" xfId="0" applyNumberFormat="1" applyFont="1" applyFill="1" applyBorder="1"/>
    <xf numFmtId="0" fontId="24" fillId="11" borderId="34" xfId="0" applyFont="1" applyFill="1" applyBorder="1" applyAlignment="1">
      <alignment horizontal="center" vertical="center"/>
    </xf>
    <xf numFmtId="10" fontId="24" fillId="2" borderId="14" xfId="0" applyNumberFormat="1" applyFont="1" applyFill="1" applyBorder="1"/>
    <xf numFmtId="0" fontId="24" fillId="11" borderId="21" xfId="0" applyFont="1" applyFill="1" applyBorder="1" applyAlignment="1">
      <alignment horizontal="center" vertical="center"/>
    </xf>
    <xf numFmtId="0" fontId="24" fillId="11" borderId="6" xfId="0" applyFont="1" applyFill="1" applyBorder="1" applyAlignment="1">
      <alignment horizontal="center" vertical="center"/>
    </xf>
    <xf numFmtId="9" fontId="24" fillId="2" borderId="6" xfId="0" applyNumberFormat="1" applyFont="1" applyFill="1" applyBorder="1"/>
    <xf numFmtId="0" fontId="19" fillId="0" borderId="0" xfId="0" applyFont="1" applyProtection="1">
      <protection locked="0"/>
    </xf>
    <xf numFmtId="0" fontId="24" fillId="11" borderId="14" xfId="0" applyFont="1" applyFill="1" applyBorder="1" applyAlignment="1">
      <alignment horizontal="center" vertical="center"/>
    </xf>
    <xf numFmtId="0" fontId="24" fillId="2" borderId="19" xfId="0" applyFont="1" applyFill="1" applyBorder="1"/>
    <xf numFmtId="171" fontId="24" fillId="2" borderId="14" xfId="0" applyNumberFormat="1" applyFont="1" applyFill="1" applyBorder="1"/>
    <xf numFmtId="0" fontId="9" fillId="3" borderId="7" xfId="0" applyFont="1" applyFill="1" applyBorder="1" applyAlignment="1">
      <alignment horizontal="center" vertical="center"/>
    </xf>
    <xf numFmtId="0" fontId="24" fillId="0" borderId="0" xfId="0" applyFont="1" applyAlignment="1" applyProtection="1">
      <alignment horizontal="center" vertical="center"/>
      <protection locked="0"/>
    </xf>
    <xf numFmtId="0" fontId="24" fillId="0" borderId="0" xfId="0" applyFont="1" applyProtection="1">
      <protection locked="0"/>
    </xf>
    <xf numFmtId="169" fontId="24" fillId="0" borderId="0" xfId="0" applyNumberFormat="1" applyFont="1" applyProtection="1">
      <protection locked="0"/>
    </xf>
    <xf numFmtId="171" fontId="24" fillId="0" borderId="0" xfId="0" applyNumberFormat="1" applyFont="1" applyProtection="1">
      <protection locked="0"/>
    </xf>
    <xf numFmtId="9" fontId="24" fillId="0" borderId="0" xfId="0" applyNumberFormat="1" applyFont="1" applyProtection="1">
      <protection locked="0"/>
    </xf>
    <xf numFmtId="173" fontId="24" fillId="0" borderId="0" xfId="0" applyNumberFormat="1" applyFont="1" applyProtection="1">
      <protection locked="0"/>
    </xf>
    <xf numFmtId="0" fontId="24" fillId="0" borderId="0" xfId="0" applyFont="1" applyAlignment="1" applyProtection="1">
      <alignment horizontal="center" vertical="center" wrapText="1"/>
      <protection locked="0"/>
    </xf>
    <xf numFmtId="0" fontId="24" fillId="0" borderId="0" xfId="0" applyFont="1" applyAlignment="1" applyProtection="1">
      <alignment horizontal="left"/>
      <protection locked="0"/>
    </xf>
    <xf numFmtId="169" fontId="3" fillId="0" borderId="0" xfId="0" applyNumberFormat="1" applyFont="1" applyProtection="1">
      <protection locked="0"/>
    </xf>
    <xf numFmtId="164" fontId="24" fillId="0" borderId="0" xfId="0" applyNumberFormat="1" applyFont="1" applyProtection="1">
      <protection locked="0"/>
    </xf>
    <xf numFmtId="0" fontId="27" fillId="12" borderId="0" xfId="0" applyFont="1" applyFill="1" applyProtection="1">
      <protection locked="0"/>
    </xf>
    <xf numFmtId="1" fontId="19" fillId="13" borderId="7" xfId="0" applyNumberFormat="1" applyFont="1" applyFill="1" applyBorder="1" applyAlignment="1">
      <alignment horizontal="center" vertical="center"/>
    </xf>
    <xf numFmtId="0" fontId="9" fillId="0" borderId="0" xfId="0" applyFont="1" applyAlignment="1" applyProtection="1">
      <alignment horizontal="center" vertical="center"/>
      <protection locked="0"/>
    </xf>
    <xf numFmtId="0" fontId="9" fillId="8" borderId="7" xfId="0" applyFont="1" applyFill="1" applyBorder="1" applyProtection="1">
      <protection locked="0"/>
    </xf>
    <xf numFmtId="0" fontId="19" fillId="13" borderId="7" xfId="0" applyFont="1" applyFill="1" applyBorder="1" applyAlignment="1">
      <alignment vertical="center" wrapText="1"/>
    </xf>
    <xf numFmtId="0" fontId="9" fillId="6" borderId="7" xfId="0" applyFont="1" applyFill="1" applyBorder="1" applyProtection="1">
      <protection locked="0"/>
    </xf>
    <xf numFmtId="0" fontId="19" fillId="0" borderId="7" xfId="0" applyFont="1" applyBorder="1" applyAlignment="1" applyProtection="1">
      <alignment horizontal="center" vertical="center"/>
      <protection locked="0"/>
    </xf>
    <xf numFmtId="0" fontId="19" fillId="8" borderId="7" xfId="0" applyFont="1" applyFill="1" applyBorder="1" applyProtection="1">
      <protection locked="0"/>
    </xf>
    <xf numFmtId="0" fontId="19" fillId="13" borderId="7" xfId="0" applyFont="1" applyFill="1" applyBorder="1" applyProtection="1">
      <protection locked="0"/>
    </xf>
    <xf numFmtId="0" fontId="0" fillId="6" borderId="7" xfId="0" applyFill="1" applyBorder="1" applyProtection="1">
      <protection locked="0"/>
    </xf>
    <xf numFmtId="0" fontId="19" fillId="8" borderId="7" xfId="0" applyFont="1" applyFill="1" applyBorder="1" applyAlignment="1">
      <alignment horizontal="center" vertical="center"/>
    </xf>
    <xf numFmtId="0" fontId="9" fillId="8" borderId="7" xfId="0" applyFont="1" applyFill="1" applyBorder="1" applyAlignment="1" applyProtection="1">
      <alignment horizontal="center" vertical="center"/>
      <protection locked="0"/>
    </xf>
    <xf numFmtId="0" fontId="9" fillId="8" borderId="7" xfId="0" applyFont="1" applyFill="1" applyBorder="1" applyAlignment="1">
      <alignment horizontal="center" vertical="center"/>
    </xf>
    <xf numFmtId="174" fontId="9" fillId="3" borderId="7" xfId="0" applyNumberFormat="1" applyFont="1" applyFill="1" applyBorder="1" applyAlignment="1">
      <alignment horizontal="center" vertical="center"/>
    </xf>
    <xf numFmtId="0" fontId="9" fillId="6" borderId="0" xfId="0" applyFont="1" applyFill="1" applyProtection="1">
      <protection locked="0"/>
    </xf>
    <xf numFmtId="174" fontId="27" fillId="12" borderId="7" xfId="0" applyNumberFormat="1" applyFont="1" applyFill="1" applyBorder="1" applyAlignment="1">
      <alignment horizontal="center" vertical="center"/>
    </xf>
    <xf numFmtId="0" fontId="19" fillId="0" borderId="0" xfId="0" applyFont="1"/>
    <xf numFmtId="0" fontId="19" fillId="3" borderId="7" xfId="0" applyFont="1" applyFill="1" applyBorder="1" applyAlignment="1">
      <alignment horizontal="center" vertical="center"/>
    </xf>
    <xf numFmtId="3" fontId="9" fillId="3" borderId="7" xfId="0" applyNumberFormat="1" applyFont="1" applyFill="1" applyBorder="1" applyAlignment="1">
      <alignment horizontal="center" vertical="center"/>
    </xf>
    <xf numFmtId="0" fontId="19" fillId="13" borderId="7" xfId="0" applyFont="1" applyFill="1" applyBorder="1"/>
    <xf numFmtId="175" fontId="9" fillId="6" borderId="7"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protection locked="0"/>
    </xf>
    <xf numFmtId="0" fontId="1" fillId="2" borderId="0" xfId="0" applyFont="1" applyFill="1" applyAlignment="1" applyProtection="1">
      <alignment horizontal="left"/>
      <protection locked="0"/>
    </xf>
    <xf numFmtId="0" fontId="1" fillId="2" borderId="0" xfId="0" applyFont="1" applyFill="1" applyAlignment="1">
      <alignment horizontal="left"/>
    </xf>
    <xf numFmtId="164" fontId="1" fillId="2" borderId="0" xfId="0" applyNumberFormat="1" applyFont="1" applyFill="1" applyAlignment="1">
      <alignment horizontal="left"/>
    </xf>
    <xf numFmtId="0" fontId="0" fillId="0" borderId="0" xfId="0" applyAlignment="1">
      <alignment horizontal="center" vertical="center"/>
    </xf>
    <xf numFmtId="0" fontId="30" fillId="0" borderId="0" xfId="0" applyFont="1" applyProtection="1">
      <protection locked="0"/>
    </xf>
    <xf numFmtId="0" fontId="8" fillId="4" borderId="10" xfId="0" applyFont="1" applyFill="1" applyBorder="1" applyAlignment="1" applyProtection="1">
      <alignment horizontal="center" vertical="center"/>
      <protection locked="0"/>
    </xf>
    <xf numFmtId="165" fontId="8" fillId="4" borderId="11" xfId="0" applyNumberFormat="1" applyFont="1" applyFill="1" applyBorder="1" applyAlignment="1" applyProtection="1">
      <alignment vertical="center"/>
      <protection locked="0"/>
    </xf>
    <xf numFmtId="165" fontId="8" fillId="4" borderId="10" xfId="0" applyNumberFormat="1" applyFont="1" applyFill="1" applyBorder="1" applyAlignment="1" applyProtection="1">
      <alignment vertical="center"/>
      <protection locked="0"/>
    </xf>
    <xf numFmtId="165" fontId="15" fillId="4" borderId="10" xfId="0" applyNumberFormat="1" applyFont="1" applyFill="1" applyBorder="1" applyAlignment="1" applyProtection="1">
      <alignment horizontal="center" vertical="center" wrapText="1"/>
      <protection locked="0"/>
    </xf>
    <xf numFmtId="165" fontId="8" fillId="4" borderId="10" xfId="0" applyNumberFormat="1" applyFont="1" applyFill="1" applyBorder="1" applyAlignment="1" applyProtection="1">
      <alignment horizontal="center" vertical="center"/>
      <protection locked="0"/>
    </xf>
    <xf numFmtId="0" fontId="3" fillId="11" borderId="10" xfId="0" applyFont="1" applyFill="1" applyBorder="1" applyAlignment="1" applyProtection="1">
      <alignment horizontal="center"/>
      <protection locked="0"/>
    </xf>
    <xf numFmtId="169" fontId="3" fillId="2" borderId="11" xfId="0" applyNumberFormat="1" applyFont="1" applyFill="1" applyBorder="1" applyAlignment="1">
      <alignment vertical="center"/>
    </xf>
    <xf numFmtId="169" fontId="3" fillId="2" borderId="10" xfId="0" applyNumberFormat="1" applyFont="1" applyFill="1" applyBorder="1" applyAlignment="1" applyProtection="1">
      <alignment vertical="center"/>
      <protection locked="0"/>
    </xf>
    <xf numFmtId="3" fontId="3" fillId="11" borderId="10" xfId="0" applyNumberFormat="1" applyFont="1" applyFill="1" applyBorder="1" applyAlignment="1">
      <alignment horizontal="center"/>
    </xf>
    <xf numFmtId="0" fontId="3" fillId="2" borderId="10" xfId="0" applyFont="1" applyFill="1" applyBorder="1" applyAlignment="1">
      <alignment horizontal="center" vertical="center"/>
    </xf>
    <xf numFmtId="1" fontId="3" fillId="2" borderId="10" xfId="0" applyNumberFormat="1" applyFont="1" applyFill="1" applyBorder="1" applyAlignment="1">
      <alignment horizontal="center" vertical="center"/>
    </xf>
    <xf numFmtId="169" fontId="0" fillId="0" borderId="10" xfId="0" applyNumberFormat="1" applyBorder="1"/>
    <xf numFmtId="169" fontId="0" fillId="0" borderId="10" xfId="0" applyNumberFormat="1" applyBorder="1" applyProtection="1">
      <protection locked="0"/>
    </xf>
    <xf numFmtId="169" fontId="0" fillId="0" borderId="11" xfId="0" applyNumberFormat="1" applyBorder="1" applyAlignment="1">
      <alignment horizontal="center"/>
    </xf>
    <xf numFmtId="169" fontId="3" fillId="2" borderId="10" xfId="0" applyNumberFormat="1" applyFont="1" applyFill="1" applyBorder="1" applyProtection="1">
      <protection locked="0"/>
    </xf>
    <xf numFmtId="169" fontId="8" fillId="4" borderId="10" xfId="0" applyNumberFormat="1" applyFont="1" applyFill="1" applyBorder="1" applyAlignment="1">
      <alignment vertical="center"/>
    </xf>
    <xf numFmtId="169" fontId="8" fillId="4" borderId="10" xfId="0" applyNumberFormat="1" applyFont="1" applyFill="1" applyBorder="1" applyAlignment="1" applyProtection="1">
      <alignment vertical="center"/>
      <protection locked="0"/>
    </xf>
    <xf numFmtId="165" fontId="8" fillId="4" borderId="10" xfId="0" applyNumberFormat="1" applyFont="1" applyFill="1" applyBorder="1" applyAlignment="1">
      <alignment horizontal="center" vertical="center"/>
    </xf>
    <xf numFmtId="165" fontId="8" fillId="4" borderId="10" xfId="0" applyNumberFormat="1" applyFont="1" applyFill="1" applyBorder="1" applyAlignment="1" applyProtection="1">
      <alignment horizontal="left" vertical="center"/>
      <protection locked="0"/>
    </xf>
    <xf numFmtId="165" fontId="0" fillId="0" borderId="10" xfId="0" applyNumberFormat="1" applyBorder="1"/>
    <xf numFmtId="165" fontId="0" fillId="0" borderId="10" xfId="0" applyNumberFormat="1" applyBorder="1" applyProtection="1">
      <protection locked="0"/>
    </xf>
    <xf numFmtId="0" fontId="0" fillId="0" borderId="0" xfId="0" applyAlignment="1" applyProtection="1">
      <alignment horizontal="left" vertical="center"/>
      <protection locked="0"/>
    </xf>
    <xf numFmtId="165" fontId="8" fillId="4" borderId="10" xfId="0" applyNumberFormat="1" applyFont="1" applyFill="1" applyBorder="1" applyAlignment="1">
      <alignment horizontal="left" vertical="center"/>
    </xf>
    <xf numFmtId="0" fontId="30" fillId="0" borderId="0" xfId="0" applyFont="1" applyAlignment="1">
      <alignment horizontal="center" vertical="center" wrapText="1"/>
    </xf>
    <xf numFmtId="0" fontId="0" fillId="0" borderId="0" xfId="0" applyAlignment="1">
      <alignment horizontal="left" vertical="center"/>
    </xf>
    <xf numFmtId="0" fontId="30" fillId="0" borderId="11" xfId="0" applyFont="1" applyBorder="1" applyAlignment="1" applyProtection="1">
      <alignment horizontal="center" vertical="center" wrapText="1"/>
      <protection locked="0"/>
    </xf>
    <xf numFmtId="0" fontId="0" fillId="0" borderId="23" xfId="0" applyBorder="1" applyAlignment="1" applyProtection="1">
      <alignment horizontal="left" vertical="center"/>
      <protection locked="0"/>
    </xf>
    <xf numFmtId="0" fontId="30" fillId="0" borderId="6" xfId="0" applyFont="1" applyBorder="1" applyAlignment="1" applyProtection="1">
      <alignment horizontal="center" vertical="center" wrapText="1"/>
      <protection locked="0"/>
    </xf>
    <xf numFmtId="0" fontId="0" fillId="0" borderId="6"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0" borderId="21" xfId="0" applyBorder="1" applyAlignment="1" applyProtection="1">
      <alignment horizontal="left" vertical="center" wrapText="1"/>
      <protection locked="0"/>
    </xf>
    <xf numFmtId="0" fontId="0" fillId="0" borderId="23" xfId="0" applyBorder="1" applyAlignment="1" applyProtection="1">
      <alignment horizontal="left" vertical="center" wrapText="1"/>
      <protection locked="0"/>
    </xf>
    <xf numFmtId="0" fontId="30" fillId="0" borderId="14" xfId="0" applyFont="1" applyBorder="1" applyAlignment="1" applyProtection="1">
      <alignment horizontal="left" vertical="center"/>
      <protection locked="0"/>
    </xf>
    <xf numFmtId="0" fontId="30" fillId="0" borderId="10" xfId="0" applyFont="1" applyBorder="1" applyProtection="1">
      <protection locked="0"/>
    </xf>
    <xf numFmtId="0" fontId="0" fillId="0" borderId="10" xfId="0" applyBorder="1" applyAlignment="1" applyProtection="1">
      <alignment vertical="center" wrapText="1"/>
      <protection locked="0"/>
    </xf>
    <xf numFmtId="0" fontId="0" fillId="0" borderId="21"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0" fillId="0" borderId="0" xfId="0" applyAlignment="1" applyProtection="1">
      <alignment horizontal="left"/>
      <protection locked="0"/>
    </xf>
    <xf numFmtId="0" fontId="32" fillId="0" borderId="0" xfId="0" applyFont="1" applyAlignment="1" applyProtection="1">
      <alignment horizontal="left"/>
      <protection locked="0"/>
    </xf>
    <xf numFmtId="0" fontId="33" fillId="0" borderId="0" xfId="0" applyFont="1" applyAlignment="1" applyProtection="1">
      <alignment horizontal="right"/>
      <protection locked="0"/>
    </xf>
    <xf numFmtId="0" fontId="34" fillId="0" borderId="0" xfId="0" applyFont="1" applyProtection="1">
      <protection locked="0"/>
    </xf>
    <xf numFmtId="0" fontId="34" fillId="0" borderId="0" xfId="0" applyFont="1" applyAlignment="1" applyProtection="1">
      <alignment horizontal="left" vertical="center"/>
      <protection locked="0"/>
    </xf>
    <xf numFmtId="0" fontId="0" fillId="0" borderId="0" xfId="0" applyAlignment="1" applyProtection="1">
      <alignment horizontal="right"/>
      <protection locked="0"/>
    </xf>
    <xf numFmtId="0" fontId="0" fillId="0" borderId="0" xfId="0" applyAlignment="1" applyProtection="1">
      <alignment horizontal="center"/>
      <protection locked="0"/>
    </xf>
    <xf numFmtId="0" fontId="33" fillId="0" borderId="0" xfId="0" applyFont="1" applyProtection="1">
      <protection locked="0"/>
    </xf>
    <xf numFmtId="0" fontId="0" fillId="0" borderId="38" xfId="0" applyBorder="1" applyProtection="1">
      <protection locked="0"/>
    </xf>
    <xf numFmtId="0" fontId="0" fillId="0" borderId="1" xfId="0" applyBorder="1" applyAlignment="1" applyProtection="1">
      <alignment horizontal="center"/>
      <protection locked="0"/>
    </xf>
    <xf numFmtId="0" fontId="0" fillId="0" borderId="35" xfId="0" applyBorder="1" applyProtection="1">
      <protection locked="0"/>
    </xf>
    <xf numFmtId="0" fontId="0" fillId="0" borderId="39" xfId="0" applyBorder="1" applyProtection="1">
      <protection locked="0"/>
    </xf>
    <xf numFmtId="0" fontId="0" fillId="0" borderId="1" xfId="0" applyBorder="1" applyProtection="1">
      <protection locked="0"/>
    </xf>
    <xf numFmtId="0" fontId="0" fillId="0" borderId="1" xfId="0" applyBorder="1" applyAlignment="1" applyProtection="1">
      <alignment wrapText="1"/>
      <protection locked="0"/>
    </xf>
    <xf numFmtId="0" fontId="0" fillId="0" borderId="40" xfId="0" applyBorder="1" applyProtection="1">
      <protection locked="0"/>
    </xf>
    <xf numFmtId="0" fontId="0" fillId="0" borderId="40" xfId="0" applyBorder="1" applyAlignment="1" applyProtection="1">
      <alignment wrapText="1"/>
      <protection locked="0"/>
    </xf>
    <xf numFmtId="0" fontId="0" fillId="0" borderId="40" xfId="0" applyBorder="1" applyAlignment="1" applyProtection="1">
      <alignment vertical="center" wrapText="1"/>
      <protection locked="0"/>
    </xf>
    <xf numFmtId="0" fontId="0" fillId="0" borderId="41" xfId="0" applyBorder="1" applyProtection="1">
      <protection locked="0"/>
    </xf>
    <xf numFmtId="0" fontId="0" fillId="0" borderId="42" xfId="0" applyBorder="1" applyProtection="1">
      <protection locked="0"/>
    </xf>
    <xf numFmtId="0" fontId="0" fillId="0" borderId="43" xfId="0" applyBorder="1" applyProtection="1">
      <protection locked="0"/>
    </xf>
    <xf numFmtId="0" fontId="0" fillId="0" borderId="44" xfId="0" applyBorder="1" applyProtection="1">
      <protection locked="0"/>
    </xf>
    <xf numFmtId="0" fontId="0" fillId="0" borderId="4" xfId="0" applyBorder="1" applyProtection="1">
      <protection locked="0"/>
    </xf>
    <xf numFmtId="0" fontId="32" fillId="0" borderId="0" xfId="0" applyFont="1" applyProtection="1">
      <protection locked="0"/>
    </xf>
    <xf numFmtId="0" fontId="19" fillId="0" borderId="0" xfId="0" applyFont="1" applyAlignment="1" applyProtection="1">
      <alignment horizontal="center" vertical="center"/>
      <protection locked="0"/>
    </xf>
    <xf numFmtId="0" fontId="9" fillId="0" borderId="0" xfId="0" applyFont="1"/>
    <xf numFmtId="0" fontId="28" fillId="12" borderId="7" xfId="0" applyFont="1" applyFill="1" applyBorder="1" applyAlignment="1">
      <alignment horizontal="center" vertical="center"/>
    </xf>
    <xf numFmtId="0" fontId="19" fillId="0" borderId="7" xfId="0" applyFont="1" applyBorder="1"/>
    <xf numFmtId="0" fontId="19" fillId="0" borderId="7" xfId="0" applyFont="1" applyBorder="1" applyAlignment="1">
      <alignment horizontal="center" vertical="center"/>
    </xf>
    <xf numFmtId="9" fontId="19" fillId="0" borderId="7" xfId="0" applyNumberFormat="1" applyFont="1" applyBorder="1" applyAlignment="1">
      <alignment horizontal="center" vertical="center"/>
    </xf>
    <xf numFmtId="0" fontId="9" fillId="13" borderId="7" xfId="0" applyFont="1" applyFill="1" applyBorder="1"/>
    <xf numFmtId="0" fontId="9" fillId="13" borderId="7" xfId="0" applyFont="1" applyFill="1" applyBorder="1" applyAlignment="1">
      <alignment horizontal="center" vertical="center"/>
    </xf>
    <xf numFmtId="171" fontId="19" fillId="0" borderId="7" xfId="0" applyNumberFormat="1" applyFont="1" applyBorder="1" applyAlignment="1">
      <alignment horizontal="center" vertical="center"/>
    </xf>
    <xf numFmtId="174" fontId="9" fillId="13" borderId="7" xfId="0" applyNumberFormat="1" applyFont="1" applyFill="1" applyBorder="1" applyAlignment="1">
      <alignment horizontal="center" vertical="center"/>
    </xf>
    <xf numFmtId="0" fontId="12" fillId="10" borderId="13" xfId="0" applyFont="1" applyFill="1" applyBorder="1" applyAlignment="1" applyProtection="1">
      <alignment horizontal="center" vertical="center"/>
      <protection locked="0"/>
    </xf>
    <xf numFmtId="165" fontId="12" fillId="10" borderId="10" xfId="0" applyNumberFormat="1" applyFont="1" applyFill="1" applyBorder="1" applyAlignment="1" applyProtection="1">
      <alignment horizontal="center" vertical="center" wrapText="1"/>
      <protection locked="0"/>
    </xf>
    <xf numFmtId="167" fontId="8" fillId="10" borderId="10" xfId="0" applyNumberFormat="1" applyFont="1" applyFill="1" applyBorder="1" applyAlignment="1" applyProtection="1">
      <alignment horizontal="center" vertical="center"/>
      <protection locked="0"/>
    </xf>
    <xf numFmtId="0" fontId="8" fillId="10" borderId="10" xfId="0" applyFont="1" applyFill="1" applyBorder="1" applyAlignment="1" applyProtection="1">
      <alignment horizontal="center" vertical="center" wrapText="1"/>
      <protection locked="0"/>
    </xf>
    <xf numFmtId="165" fontId="8" fillId="10" borderId="11" xfId="0" applyNumberFormat="1" applyFont="1" applyFill="1" applyBorder="1" applyAlignment="1" applyProtection="1">
      <alignment horizontal="center" vertical="center"/>
      <protection locked="0"/>
    </xf>
    <xf numFmtId="0" fontId="8" fillId="10" borderId="21" xfId="0" applyFont="1" applyFill="1" applyBorder="1" applyAlignment="1" applyProtection="1">
      <alignment horizontal="center" vertical="center"/>
      <protection locked="0"/>
    </xf>
    <xf numFmtId="169" fontId="3" fillId="2" borderId="11" xfId="0" applyNumberFormat="1" applyFont="1" applyFill="1" applyBorder="1" applyAlignment="1">
      <alignment horizontal="center"/>
    </xf>
    <xf numFmtId="165" fontId="3" fillId="2" borderId="10" xfId="0" applyNumberFormat="1" applyFont="1" applyFill="1" applyBorder="1" applyAlignment="1" applyProtection="1">
      <alignment horizontal="center"/>
      <protection locked="0"/>
    </xf>
    <xf numFmtId="0" fontId="0" fillId="0" borderId="23" xfId="0" applyBorder="1" applyAlignment="1" applyProtection="1">
      <alignment horizontal="center"/>
      <protection locked="0"/>
    </xf>
    <xf numFmtId="165" fontId="3" fillId="2" borderId="23" xfId="0" applyNumberFormat="1" applyFont="1" applyFill="1" applyBorder="1" applyAlignment="1">
      <alignment horizontal="center"/>
    </xf>
    <xf numFmtId="165" fontId="3" fillId="2" borderId="10" xfId="0" applyNumberFormat="1" applyFont="1" applyFill="1" applyBorder="1" applyAlignment="1">
      <alignment horizontal="center"/>
    </xf>
    <xf numFmtId="0" fontId="8" fillId="10" borderId="26" xfId="0" applyFont="1" applyFill="1" applyBorder="1" applyAlignment="1" applyProtection="1">
      <alignment horizontal="center"/>
      <protection locked="0"/>
    </xf>
    <xf numFmtId="165" fontId="8" fillId="10" borderId="27" xfId="0" applyNumberFormat="1" applyFont="1" applyFill="1" applyBorder="1" applyAlignment="1">
      <alignment horizontal="center" vertical="center"/>
    </xf>
    <xf numFmtId="0" fontId="16" fillId="12" borderId="0" xfId="0" applyFont="1" applyFill="1" applyProtection="1">
      <protection locked="0"/>
    </xf>
    <xf numFmtId="0" fontId="17" fillId="0" borderId="0" xfId="0" applyFont="1" applyProtection="1">
      <protection locked="0"/>
    </xf>
    <xf numFmtId="0" fontId="18" fillId="10" borderId="0" xfId="0" applyFont="1" applyFill="1" applyProtection="1">
      <protection locked="0"/>
    </xf>
    <xf numFmtId="1" fontId="9" fillId="3" borderId="7" xfId="0" applyNumberFormat="1" applyFont="1" applyFill="1" applyBorder="1" applyAlignment="1">
      <alignment horizontal="center" vertical="center"/>
    </xf>
    <xf numFmtId="0" fontId="8" fillId="12" borderId="0" xfId="0" applyFont="1" applyFill="1" applyAlignment="1" applyProtection="1">
      <alignment horizontal="center"/>
      <protection locked="0"/>
    </xf>
    <xf numFmtId="0" fontId="10" fillId="2" borderId="0" xfId="0" applyFont="1" applyFill="1" applyAlignment="1" applyProtection="1">
      <alignment horizontal="center"/>
      <protection locked="0"/>
    </xf>
    <xf numFmtId="0" fontId="8" fillId="10" borderId="11" xfId="0" applyFont="1" applyFill="1" applyBorder="1" applyAlignment="1" applyProtection="1">
      <alignment horizontal="left"/>
      <protection locked="0"/>
    </xf>
    <xf numFmtId="0" fontId="24" fillId="11" borderId="10" xfId="0" applyFont="1" applyFill="1" applyBorder="1" applyAlignment="1" applyProtection="1">
      <alignment horizontal="center" vertical="center" wrapText="1"/>
      <protection locked="0"/>
    </xf>
    <xf numFmtId="0" fontId="8" fillId="10" borderId="10" xfId="0" applyFont="1" applyFill="1" applyBorder="1" applyAlignment="1">
      <alignment horizontal="center"/>
    </xf>
    <xf numFmtId="0" fontId="24" fillId="2" borderId="33" xfId="0" applyFont="1" applyFill="1" applyBorder="1" applyAlignment="1">
      <alignment horizontal="left"/>
    </xf>
    <xf numFmtId="0" fontId="24" fillId="2" borderId="34" xfId="0" applyFont="1" applyFill="1" applyBorder="1" applyAlignment="1">
      <alignment horizontal="left"/>
    </xf>
    <xf numFmtId="0" fontId="27" fillId="12" borderId="0" xfId="0" applyFont="1" applyFill="1" applyProtection="1">
      <protection locked="0"/>
    </xf>
    <xf numFmtId="0" fontId="19" fillId="13" borderId="7" xfId="0" applyFont="1" applyFill="1" applyBorder="1" applyAlignment="1">
      <alignment horizontal="center" vertical="center"/>
    </xf>
    <xf numFmtId="170" fontId="19" fillId="13" borderId="7" xfId="0" applyNumberFormat="1" applyFont="1" applyFill="1" applyBorder="1" applyAlignment="1">
      <alignment horizontal="center" vertical="center"/>
    </xf>
    <xf numFmtId="3" fontId="19" fillId="13" borderId="7" xfId="0" applyNumberFormat="1" applyFont="1" applyFill="1" applyBorder="1" applyAlignment="1">
      <alignment horizontal="center" vertical="center"/>
    </xf>
    <xf numFmtId="0" fontId="9" fillId="3" borderId="7" xfId="0" applyFont="1" applyFill="1" applyBorder="1"/>
    <xf numFmtId="0" fontId="9" fillId="3" borderId="7" xfId="0" applyFont="1" applyFill="1" applyBorder="1" applyAlignment="1">
      <alignment horizontal="center" vertical="center"/>
    </xf>
    <xf numFmtId="0" fontId="28" fillId="12" borderId="0" xfId="0" applyFont="1" applyFill="1" applyProtection="1">
      <protection locked="0"/>
    </xf>
    <xf numFmtId="0" fontId="17" fillId="0" borderId="0" xfId="0" applyFont="1"/>
    <xf numFmtId="0" fontId="19" fillId="3" borderId="7" xfId="0" applyFont="1" applyFill="1" applyBorder="1"/>
    <xf numFmtId="0" fontId="9" fillId="0" borderId="0" xfId="0" applyFont="1" applyProtection="1">
      <protection locked="0"/>
    </xf>
    <xf numFmtId="0" fontId="19" fillId="0" borderId="0" xfId="0" applyFont="1"/>
    <xf numFmtId="0" fontId="27" fillId="12" borderId="7" xfId="0" applyFont="1" applyFill="1" applyBorder="1" applyAlignment="1">
      <alignment horizontal="center" vertical="center"/>
    </xf>
    <xf numFmtId="0" fontId="29" fillId="0" borderId="0" xfId="0" applyFont="1" applyAlignment="1" applyProtection="1">
      <alignment vertical="center" wrapText="1"/>
      <protection locked="0"/>
    </xf>
    <xf numFmtId="0" fontId="19" fillId="6" borderId="7" xfId="0" applyFont="1" applyFill="1" applyBorder="1" applyProtection="1">
      <protection locked="0"/>
    </xf>
    <xf numFmtId="0" fontId="19" fillId="0" borderId="7" xfId="0" applyFont="1" applyBorder="1" applyProtection="1">
      <protection locked="0"/>
    </xf>
    <xf numFmtId="0" fontId="19" fillId="13" borderId="7" xfId="0" applyFont="1" applyFill="1" applyBorder="1" applyAlignment="1">
      <alignment vertical="top" wrapText="1"/>
    </xf>
    <xf numFmtId="0" fontId="30" fillId="0" borderId="35" xfId="0" applyFont="1" applyBorder="1" applyAlignment="1" applyProtection="1">
      <alignment horizontal="center"/>
      <protection locked="0"/>
    </xf>
    <xf numFmtId="0" fontId="0" fillId="0" borderId="36" xfId="0" applyBorder="1" applyAlignment="1" applyProtection="1">
      <alignment horizontal="left" vertical="top" wrapText="1"/>
      <protection locked="0"/>
    </xf>
    <xf numFmtId="0" fontId="30" fillId="0" borderId="0" xfId="0" applyFont="1" applyAlignment="1" applyProtection="1">
      <alignment horizontal="left" wrapText="1"/>
      <protection locked="0"/>
    </xf>
    <xf numFmtId="0" fontId="0" fillId="0" borderId="0" xfId="0" applyAlignment="1" applyProtection="1">
      <alignment horizontal="left" vertical="center" wrapText="1"/>
      <protection locked="0"/>
    </xf>
    <xf numFmtId="0" fontId="0" fillId="11" borderId="37" xfId="0" applyFill="1" applyBorder="1" applyAlignment="1" applyProtection="1">
      <alignment horizontal="left"/>
      <protection locked="0"/>
    </xf>
    <xf numFmtId="0" fontId="0" fillId="0" borderId="0" xfId="0" applyAlignment="1" applyProtection="1">
      <alignment horizontal="left" wrapText="1"/>
      <protection locked="0"/>
    </xf>
    <xf numFmtId="0" fontId="31" fillId="12" borderId="0" xfId="0" applyFont="1" applyFill="1" applyAlignment="1" applyProtection="1">
      <alignment horizontal="center"/>
      <protection locked="0"/>
    </xf>
    <xf numFmtId="0" fontId="30" fillId="2" borderId="0" xfId="0" applyFont="1" applyFill="1" applyAlignment="1" applyProtection="1">
      <alignment horizontal="center"/>
      <protection locked="0"/>
    </xf>
    <xf numFmtId="0" fontId="8" fillId="4" borderId="10" xfId="0" applyFont="1" applyFill="1" applyBorder="1" applyAlignment="1" applyProtection="1">
      <alignment horizontal="center" vertical="center" wrapText="1"/>
      <protection locked="0"/>
    </xf>
    <xf numFmtId="0" fontId="8" fillId="4" borderId="10" xfId="0" applyFont="1" applyFill="1" applyBorder="1" applyAlignment="1" applyProtection="1">
      <alignment horizontal="center" vertical="center"/>
      <protection locked="0"/>
    </xf>
    <xf numFmtId="0" fontId="14" fillId="2" borderId="10" xfId="0" applyFont="1" applyFill="1" applyBorder="1" applyAlignment="1" applyProtection="1">
      <alignment horizontal="center" vertical="center"/>
      <protection locked="0"/>
    </xf>
    <xf numFmtId="0" fontId="8" fillId="4" borderId="10" xfId="0" applyFont="1" applyFill="1" applyBorder="1" applyAlignment="1" applyProtection="1">
      <alignment horizontal="center"/>
      <protection locked="0"/>
    </xf>
    <xf numFmtId="0" fontId="30" fillId="0" borderId="10" xfId="0" applyFont="1" applyBorder="1" applyAlignment="1" applyProtection="1">
      <alignment horizontal="center" vertical="center"/>
      <protection locked="0"/>
    </xf>
    <xf numFmtId="0" fontId="30" fillId="0" borderId="14" xfId="0" applyFont="1" applyBorder="1" applyAlignment="1" applyProtection="1">
      <alignment horizontal="center" vertical="center" wrapText="1"/>
      <protection locked="0"/>
    </xf>
    <xf numFmtId="0" fontId="30" fillId="14" borderId="10" xfId="0" applyFont="1" applyFill="1" applyBorder="1" applyAlignment="1" applyProtection="1">
      <alignment horizontal="center" vertical="center" wrapText="1"/>
      <protection locked="0"/>
    </xf>
    <xf numFmtId="0" fontId="0" fillId="8" borderId="0" xfId="0" applyFill="1" applyAlignment="1" applyProtection="1">
      <alignment horizontal="center"/>
      <protection locked="0"/>
    </xf>
    <xf numFmtId="0" fontId="0" fillId="8" borderId="0" xfId="0" applyFill="1" applyAlignment="1" applyProtection="1">
      <alignment horizontal="left"/>
      <protection locked="0"/>
    </xf>
    <xf numFmtId="0" fontId="0" fillId="0" borderId="0" xfId="0" applyAlignment="1" applyProtection="1">
      <alignment horizontal="right"/>
      <protection locked="0"/>
    </xf>
    <xf numFmtId="0" fontId="33" fillId="0" borderId="0" xfId="0" applyFont="1" applyAlignment="1" applyProtection="1">
      <alignment horizontal="right"/>
      <protection locked="0"/>
    </xf>
    <xf numFmtId="0" fontId="0" fillId="0" borderId="40" xfId="0" applyBorder="1" applyAlignment="1" applyProtection="1">
      <alignment horizontal="left" wrapText="1"/>
      <protection locked="0"/>
    </xf>
    <xf numFmtId="0" fontId="35" fillId="12" borderId="0" xfId="0" applyFont="1" applyFill="1"/>
    <xf numFmtId="0" fontId="36" fillId="0" borderId="0" xfId="0" applyFont="1" applyAlignment="1">
      <alignment vertical="center" wrapText="1"/>
    </xf>
    <xf numFmtId="0" fontId="18" fillId="10" borderId="0" xfId="0" applyFont="1" applyFill="1"/>
    <xf numFmtId="0" fontId="19" fillId="0" borderId="0" xfId="0" applyFont="1" applyAlignment="1">
      <alignment vertical="center" wrapText="1"/>
    </xf>
    <xf numFmtId="0" fontId="9" fillId="6" borderId="7" xfId="0" applyFont="1" applyFill="1" applyBorder="1"/>
  </cellXfs>
  <cellStyles count="5">
    <cellStyle name="Millares 2" xfId="1" xr:uid="{00000000-0005-0000-0000-000006000000}"/>
    <cellStyle name="Normal" xfId="0" builtinId="0"/>
    <cellStyle name="Normal 2" xfId="2" xr:uid="{00000000-0005-0000-0000-000007000000}"/>
    <cellStyle name="Normal 3" xfId="3" xr:uid="{00000000-0005-0000-0000-000008000000}"/>
    <cellStyle name="Porcentual 2" xfId="4" xr:uid="{00000000-0005-0000-0000-000009000000}"/>
  </cellStyles>
  <dxfs count="25">
    <dxf>
      <font>
        <color rgb="FF0000FF"/>
      </font>
    </dxf>
    <dxf>
      <font>
        <color rgb="FFFF0000"/>
      </font>
    </dxf>
    <dxf>
      <font>
        <color rgb="FFFF0000"/>
      </font>
    </dxf>
    <dxf>
      <font>
        <color rgb="FFFF0000"/>
      </font>
    </dxf>
    <dxf>
      <font>
        <color rgb="FFFF0000"/>
      </font>
    </dxf>
    <dxf>
      <font>
        <b/>
        <color rgb="FFFFFFFF"/>
      </font>
      <fill>
        <patternFill>
          <bgColor rgb="FFC00000"/>
        </patternFill>
      </fill>
    </dxf>
    <dxf>
      <fill>
        <patternFill>
          <bgColor rgb="FFBFBFBF"/>
        </patternFill>
      </fill>
    </dxf>
    <dxf>
      <fill>
        <patternFill>
          <bgColor rgb="FFFFC000"/>
        </patternFill>
      </fill>
    </dxf>
    <dxf>
      <fill>
        <patternFill>
          <bgColor rgb="FF92D050"/>
        </patternFill>
      </fill>
    </dxf>
    <dxf>
      <font>
        <b/>
        <color rgb="FFC00000"/>
      </font>
      <fill>
        <patternFill>
          <bgColor rgb="FFF4CCCC"/>
        </patternFill>
      </fill>
    </dxf>
    <dxf>
      <font>
        <b/>
        <color rgb="FFC00000"/>
      </font>
      <fill>
        <patternFill>
          <bgColor rgb="FFF4CCCC"/>
        </patternFill>
      </fill>
    </dxf>
    <dxf>
      <font>
        <b/>
        <color rgb="FFC00000"/>
      </font>
      <fill>
        <patternFill>
          <bgColor rgb="FFF4CCCC"/>
        </patternFill>
      </fill>
    </dxf>
    <dxf>
      <font>
        <b/>
        <color rgb="FFC00000"/>
      </font>
      <fill>
        <patternFill>
          <bgColor rgb="FFF4CCCC"/>
        </patternFill>
      </fill>
    </dxf>
    <dxf>
      <font>
        <b/>
        <color rgb="FFC00000"/>
      </font>
      <fill>
        <patternFill>
          <bgColor rgb="FFF4CCCC"/>
        </patternFill>
      </fill>
    </dxf>
    <dxf>
      <fill>
        <patternFill>
          <bgColor rgb="FFFCE4D6"/>
        </patternFill>
      </fill>
    </dxf>
    <dxf>
      <fill>
        <patternFill>
          <bgColor rgb="FFF4CCCC"/>
        </patternFill>
      </fill>
    </dxf>
    <dxf>
      <font>
        <b/>
        <color rgb="FFC00000"/>
      </font>
      <fill>
        <patternFill>
          <bgColor rgb="FFF4CCCC"/>
        </patternFill>
      </fill>
    </dxf>
    <dxf>
      <font>
        <i/>
        <color rgb="FF969696"/>
      </font>
      <fill>
        <patternFill>
          <bgColor rgb="FFEDEDED"/>
        </patternFill>
      </fill>
    </dxf>
    <dxf>
      <font>
        <i/>
        <color rgb="FF969696"/>
      </font>
      <fill>
        <patternFill>
          <bgColor rgb="FFEDEDED"/>
        </patternFill>
      </fill>
    </dxf>
    <dxf>
      <font>
        <color rgb="FF0000FF"/>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CE6F2"/>
      <rgbColor rgb="FF660066"/>
      <rgbColor rgb="FFFF8080"/>
      <rgbColor rgb="FF0070C0"/>
      <rgbColor rgb="FFB9CDE5"/>
      <rgbColor rgb="FF000080"/>
      <rgbColor rgb="FFFF00FF"/>
      <rgbColor rgb="FFFFFF00"/>
      <rgbColor rgb="FF00FFFF"/>
      <rgbColor rgb="FF800080"/>
      <rgbColor rgb="FF800000"/>
      <rgbColor rgb="FF008080"/>
      <rgbColor rgb="FF0000FF"/>
      <rgbColor rgb="FF00B0F0"/>
      <rgbColor rgb="FFF2F2F2"/>
      <rgbColor rgb="FFE2EFDA"/>
      <rgbColor rgb="FFFCE4D6"/>
      <rgbColor rgb="FFD9D9D9"/>
      <rgbColor rgb="FFEAEAEA"/>
      <rgbColor rgb="FFEDEDED"/>
      <rgbColor rgb="FFF4CCCC"/>
      <rgbColor rgb="FF3366FF"/>
      <rgbColor rgb="FF33CCCC"/>
      <rgbColor rgb="FF92D050"/>
      <rgbColor rgb="FFFFC000"/>
      <rgbColor rgb="FFFF9900"/>
      <rgbColor rgb="FFFF6600"/>
      <rgbColor rgb="FF666699"/>
      <rgbColor rgb="FF969696"/>
      <rgbColor rgb="FF002060"/>
      <rgbColor rgb="FF339966"/>
      <rgbColor rgb="FF0D223F"/>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400CreditoOperaciones\410Comercial\Fabrica_Creditos\2024\Desembolsos\Abr_2024\04_04_2024\Buritica_44123539\DG_Buritica_441235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500AdmFinanciera\510Sistemas\Automatizacion\Fabrica_credito\Finalco_Motor_Finamigo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ador"/>
      <sheetName val="Plan de pagos"/>
      <sheetName val="Flujo Empleado"/>
      <sheetName val="Analisis"/>
      <sheetName val="Guion"/>
      <sheetName val="Referenciación"/>
      <sheetName val="Preguntas_Reto"/>
      <sheetName val="Fotos"/>
      <sheetName val="Recuperos"/>
      <sheetName val="Evidencia Fotografic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tura Experian"/>
      <sheetName val="Motor de Decision"/>
      <sheetName val="Flujo Empleado"/>
      <sheetName val="Guia"/>
      <sheetName val="Como se calcula"/>
      <sheetName val="Plan de pagos"/>
      <sheetName val="Preguntas_Reto"/>
      <sheetName val="Evidencia Fotografica"/>
      <sheetName val="Simulador"/>
      <sheetName val="Guion"/>
      <sheetName val="Referenciación"/>
      <sheetName val="Preguntas reto"/>
      <sheetName val="Reglas"/>
      <sheetName val="Lis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hyperlink" Target="https://finalco.com.co/firma_pagar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youtube.com/watch?v=rIN4zjCPmq8" TargetMode="External"/><Relationship Id="rId1" Type="http://schemas.openxmlformats.org/officeDocument/2006/relationships/hyperlink" Target="https://www.youtube.com/watch?v=aYt_zxMKKwM&amp;t=5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XER160"/>
  <sheetViews>
    <sheetView showGridLines="0" zoomScaleNormal="100" workbookViewId="0">
      <selection activeCell="R16" sqref="R16"/>
    </sheetView>
  </sheetViews>
  <sheetFormatPr baseColWidth="10" defaultColWidth="11.44140625" defaultRowHeight="13.8" zeroHeight="1" x14ac:dyDescent="0.3"/>
  <cols>
    <col min="1" max="1" width="1.44140625" style="15" customWidth="1"/>
    <col min="2" max="2" width="7.44140625" style="16" customWidth="1"/>
    <col min="3" max="3" width="4" style="17" customWidth="1"/>
    <col min="4" max="4" width="4.88671875" style="17" customWidth="1"/>
    <col min="5" max="5" width="6.88671875" style="17" customWidth="1"/>
    <col min="6" max="6" width="4.44140625" style="17" customWidth="1"/>
    <col min="7" max="7" width="4" style="17" customWidth="1"/>
    <col min="8" max="8" width="6" style="17" customWidth="1"/>
    <col min="9" max="9" width="12.44140625" style="18" customWidth="1"/>
    <col min="10" max="10" width="8.5546875" style="18" customWidth="1"/>
    <col min="11" max="11" width="3.88671875" style="19" customWidth="1"/>
    <col min="12" max="12" width="13.5546875" style="19" customWidth="1"/>
    <col min="13" max="13" width="11.44140625" style="19"/>
    <col min="14" max="14" width="12.5546875" style="19" customWidth="1"/>
    <col min="15" max="15" width="12.5546875" style="20" customWidth="1"/>
    <col min="16" max="16" width="13.5546875" style="19" customWidth="1"/>
    <col min="17" max="16377" width="11.44140625" style="21"/>
    <col min="16378" max="16384" width="4.109375" style="21" customWidth="1"/>
  </cols>
  <sheetData>
    <row r="1" spans="1:36 16372:16372" ht="6" customHeight="1" x14ac:dyDescent="0.3">
      <c r="A1" s="19"/>
      <c r="B1" s="19"/>
      <c r="C1" s="19"/>
      <c r="D1" s="19"/>
      <c r="E1" s="19"/>
      <c r="F1" s="19"/>
      <c r="G1" s="19"/>
      <c r="H1" s="19"/>
      <c r="I1" s="19"/>
      <c r="J1" s="19"/>
      <c r="O1" s="19"/>
      <c r="Q1" s="22"/>
      <c r="R1" s="22"/>
      <c r="S1" s="22"/>
      <c r="T1" s="22"/>
      <c r="U1" s="22"/>
      <c r="V1" s="22"/>
      <c r="W1" s="22"/>
      <c r="X1" s="22"/>
      <c r="Y1" s="22"/>
      <c r="Z1" s="22"/>
      <c r="AA1" s="22"/>
      <c r="AB1" s="22"/>
      <c r="AC1" s="22"/>
      <c r="AD1" s="22"/>
      <c r="AE1" s="22"/>
      <c r="AF1" s="22"/>
      <c r="AG1" s="22"/>
      <c r="AH1" s="22"/>
      <c r="AI1" s="22"/>
      <c r="AJ1" s="22"/>
    </row>
    <row r="2" spans="1:36 16372:16372" ht="22.5" customHeight="1" x14ac:dyDescent="0.3">
      <c r="B2" s="14" t="s">
        <v>0</v>
      </c>
      <c r="C2" s="14"/>
      <c r="D2" s="14"/>
      <c r="E2" s="14"/>
      <c r="F2" s="14"/>
      <c r="G2" s="14"/>
      <c r="H2" s="14"/>
      <c r="I2" s="14"/>
      <c r="J2" s="14"/>
      <c r="K2" s="14"/>
      <c r="L2" s="14"/>
      <c r="M2" s="14"/>
      <c r="N2" s="14"/>
      <c r="O2" s="14"/>
      <c r="P2" s="14"/>
      <c r="Q2" s="22"/>
      <c r="R2" s="22"/>
      <c r="S2" s="22"/>
      <c r="T2" s="22"/>
      <c r="U2" s="22"/>
      <c r="V2" s="22"/>
      <c r="W2" s="22"/>
      <c r="X2" s="22"/>
      <c r="Y2" s="22"/>
      <c r="Z2" s="22"/>
      <c r="AA2" s="22"/>
      <c r="AB2" s="22"/>
      <c r="AC2" s="22"/>
      <c r="AD2" s="22"/>
      <c r="AE2" s="22"/>
      <c r="AF2" s="22"/>
      <c r="AG2" s="22"/>
      <c r="AH2" s="22"/>
      <c r="AI2" s="22"/>
      <c r="AJ2" s="22"/>
    </row>
    <row r="3" spans="1:36 16372:16372" ht="18" customHeight="1" x14ac:dyDescent="0.3">
      <c r="B3" s="13" t="s">
        <v>1</v>
      </c>
      <c r="C3" s="13"/>
      <c r="D3" s="13"/>
      <c r="E3" s="13"/>
      <c r="F3" s="13"/>
      <c r="G3" s="13"/>
      <c r="H3" s="13"/>
      <c r="I3" s="13"/>
      <c r="J3" s="13"/>
      <c r="K3" s="13"/>
      <c r="L3" s="13"/>
      <c r="M3" s="13"/>
      <c r="N3" s="13"/>
      <c r="O3" s="13"/>
      <c r="P3" s="13"/>
      <c r="Q3" s="22"/>
      <c r="R3" s="22"/>
      <c r="S3" s="22"/>
      <c r="T3" s="22"/>
      <c r="U3" s="22"/>
      <c r="V3" s="22"/>
      <c r="W3" s="22"/>
      <c r="X3" s="22"/>
      <c r="Y3" s="22"/>
      <c r="Z3" s="22"/>
      <c r="AA3" s="22"/>
      <c r="AB3" s="22"/>
      <c r="AC3" s="22"/>
      <c r="AD3" s="22"/>
      <c r="AE3" s="22"/>
      <c r="AF3" s="22"/>
      <c r="AG3" s="22"/>
      <c r="AH3" s="22"/>
      <c r="AI3" s="22"/>
      <c r="AJ3" s="22"/>
    </row>
    <row r="4" spans="1:36 16372:16372" ht="5.25" customHeight="1" x14ac:dyDescent="0.3">
      <c r="B4" s="12"/>
      <c r="C4" s="12"/>
      <c r="D4" s="12"/>
      <c r="E4" s="12"/>
      <c r="F4" s="12"/>
      <c r="G4" s="12"/>
      <c r="H4" s="12"/>
      <c r="I4" s="19"/>
      <c r="J4" s="19"/>
      <c r="L4" s="23"/>
      <c r="M4" s="23"/>
      <c r="N4" s="23"/>
      <c r="O4" s="23"/>
      <c r="P4" s="24"/>
      <c r="Q4" s="22"/>
      <c r="R4" s="22"/>
      <c r="S4" s="22"/>
      <c r="T4" s="22"/>
      <c r="U4" s="22"/>
      <c r="V4" s="22"/>
      <c r="W4" s="22"/>
      <c r="X4" s="22"/>
      <c r="Y4" s="22"/>
      <c r="Z4" s="22"/>
      <c r="AA4" s="22"/>
      <c r="AB4" s="22"/>
      <c r="AC4" s="22"/>
      <c r="AD4" s="22"/>
      <c r="AE4" s="22"/>
      <c r="AF4" s="22"/>
      <c r="AG4" s="22"/>
      <c r="AH4" s="22"/>
      <c r="AI4" s="22"/>
      <c r="AJ4" s="22"/>
    </row>
    <row r="5" spans="1:36 16372:16372" ht="21" customHeight="1" x14ac:dyDescent="0.3">
      <c r="B5" s="11" t="s">
        <v>2</v>
      </c>
      <c r="C5" s="11"/>
      <c r="D5" s="11"/>
      <c r="E5" s="11"/>
      <c r="F5" s="11"/>
      <c r="G5" s="11"/>
      <c r="H5" s="11"/>
      <c r="I5" s="10" t="s">
        <v>3</v>
      </c>
      <c r="J5" s="10"/>
      <c r="L5" s="25" t="s">
        <v>4</v>
      </c>
      <c r="M5" s="9"/>
      <c r="N5" s="9"/>
      <c r="P5" s="27" t="s">
        <v>5</v>
      </c>
      <c r="Q5" s="22"/>
      <c r="R5" s="22"/>
      <c r="S5" s="22"/>
      <c r="T5" s="22"/>
      <c r="U5" s="22"/>
      <c r="V5" s="22"/>
      <c r="W5" s="22"/>
      <c r="X5" s="22"/>
      <c r="Y5" s="22"/>
      <c r="Z5" s="22"/>
      <c r="AA5" s="22"/>
      <c r="AB5" s="22"/>
      <c r="AC5" s="22"/>
      <c r="AD5" s="22"/>
      <c r="AE5" s="22"/>
      <c r="AF5" s="22"/>
      <c r="AG5" s="22"/>
      <c r="AH5" s="22"/>
      <c r="AI5" s="22"/>
      <c r="AJ5" s="22"/>
      <c r="XER5" s="21" t="s">
        <v>6</v>
      </c>
    </row>
    <row r="6" spans="1:36 16372:16372" ht="14.25" customHeight="1" x14ac:dyDescent="0.3">
      <c r="A6" s="22"/>
      <c r="B6" s="8" t="s">
        <v>7</v>
      </c>
      <c r="C6" s="8"/>
      <c r="D6" s="8"/>
      <c r="E6" s="8"/>
      <c r="F6" s="7">
        <f>+P14+30000</f>
        <v>30000</v>
      </c>
      <c r="G6" s="7"/>
      <c r="H6" s="7"/>
      <c r="I6" s="28" t="s">
        <v>8</v>
      </c>
      <c r="J6" s="29">
        <v>0.24260000000000001</v>
      </c>
      <c r="K6" s="6"/>
      <c r="L6" s="25" t="s">
        <v>9</v>
      </c>
      <c r="M6" s="9"/>
      <c r="N6" s="9"/>
      <c r="P6" s="30" t="s">
        <v>10</v>
      </c>
      <c r="Q6" s="22"/>
      <c r="R6" s="22"/>
      <c r="S6" s="22"/>
      <c r="T6" s="22"/>
      <c r="U6" s="22"/>
      <c r="V6" s="22"/>
      <c r="W6" s="22"/>
      <c r="X6" s="22"/>
      <c r="Y6" s="22"/>
      <c r="Z6" s="22"/>
      <c r="AA6" s="22"/>
      <c r="AB6" s="22"/>
      <c r="AC6" s="22"/>
      <c r="AD6" s="22"/>
      <c r="AE6" s="22"/>
      <c r="AF6" s="22"/>
      <c r="AG6" s="22"/>
      <c r="AH6" s="22"/>
      <c r="AI6" s="22"/>
      <c r="AJ6" s="22"/>
      <c r="XER6" s="21" t="s">
        <v>11</v>
      </c>
    </row>
    <row r="7" spans="1:36 16372:16372" ht="13.5" customHeight="1" x14ac:dyDescent="0.3">
      <c r="A7" s="22"/>
      <c r="B7" s="5" t="s">
        <v>12</v>
      </c>
      <c r="C7" s="5"/>
      <c r="D7" s="5"/>
      <c r="E7" s="5"/>
      <c r="F7" s="4">
        <f>+J7</f>
        <v>1.8265303401955091E-2</v>
      </c>
      <c r="G7" s="4"/>
      <c r="H7" s="4"/>
      <c r="I7" s="31" t="s">
        <v>13</v>
      </c>
      <c r="J7" s="32">
        <f>((J6+1)^(0.0833333333333333))-1</f>
        <v>1.8265303401955091E-2</v>
      </c>
      <c r="K7" s="6"/>
      <c r="L7" s="25" t="s">
        <v>14</v>
      </c>
      <c r="M7" s="9"/>
      <c r="N7" s="9"/>
      <c r="P7" s="33" t="s">
        <v>15</v>
      </c>
      <c r="Q7" s="22"/>
      <c r="R7" s="22"/>
      <c r="S7" s="22"/>
      <c r="T7" s="22"/>
      <c r="U7" s="22"/>
      <c r="V7" s="22"/>
      <c r="W7" s="22"/>
      <c r="X7" s="22"/>
      <c r="Y7" s="22"/>
      <c r="Z7" s="22"/>
      <c r="AA7" s="22"/>
      <c r="AB7" s="22"/>
      <c r="AC7" s="22"/>
      <c r="AD7" s="22"/>
      <c r="AE7" s="22"/>
      <c r="AF7" s="22"/>
      <c r="AG7" s="22"/>
      <c r="AH7" s="22"/>
      <c r="AI7" s="22"/>
      <c r="AJ7" s="22"/>
      <c r="XER7" s="21" t="s">
        <v>16</v>
      </c>
    </row>
    <row r="8" spans="1:36 16372:16372" ht="13.5" customHeight="1" x14ac:dyDescent="0.3">
      <c r="A8" s="22"/>
      <c r="B8" s="8" t="s">
        <v>17</v>
      </c>
      <c r="C8" s="8"/>
      <c r="D8" s="8"/>
      <c r="E8" s="8"/>
      <c r="F8" s="3">
        <v>2</v>
      </c>
      <c r="G8" s="3"/>
      <c r="H8" s="3"/>
      <c r="I8" s="31" t="s">
        <v>18</v>
      </c>
      <c r="J8" s="34">
        <f>+((1+J7)^3)-1</f>
        <v>5.5802867825380353E-2</v>
      </c>
      <c r="K8" s="6"/>
      <c r="L8" s="25" t="s">
        <v>19</v>
      </c>
      <c r="M8" s="9"/>
      <c r="N8" s="9"/>
      <c r="P8" s="30" t="s">
        <v>20</v>
      </c>
      <c r="Q8" s="22"/>
      <c r="R8" s="22"/>
      <c r="S8" s="22"/>
      <c r="T8" s="22"/>
      <c r="U8" s="22"/>
      <c r="V8" s="22"/>
      <c r="W8" s="22"/>
      <c r="X8" s="22"/>
      <c r="Y8" s="22"/>
      <c r="Z8" s="22"/>
      <c r="AA8" s="22"/>
      <c r="AB8" s="22"/>
      <c r="AC8" s="22"/>
      <c r="AD8" s="22"/>
      <c r="AE8" s="22"/>
      <c r="AF8" s="22"/>
      <c r="AG8" s="22"/>
      <c r="AH8" s="22"/>
      <c r="AI8" s="22"/>
      <c r="AJ8" s="22"/>
    </row>
    <row r="9" spans="1:36 16372:16372" ht="13.5" customHeight="1" x14ac:dyDescent="0.3">
      <c r="A9" s="22"/>
      <c r="B9" s="2" t="s">
        <v>21</v>
      </c>
      <c r="C9" s="2"/>
      <c r="D9" s="2"/>
      <c r="E9" s="2"/>
      <c r="F9" s="26">
        <v>14</v>
      </c>
      <c r="G9" s="26">
        <v>1</v>
      </c>
      <c r="H9" s="26">
        <v>2026</v>
      </c>
      <c r="I9" s="31" t="s">
        <v>22</v>
      </c>
      <c r="J9" s="34">
        <f>+J8/(1+J8)</f>
        <v>5.2853491429054926E-2</v>
      </c>
      <c r="K9" s="6"/>
      <c r="L9" s="25" t="s">
        <v>23</v>
      </c>
      <c r="M9" s="9"/>
      <c r="N9" s="9"/>
      <c r="P9" s="26">
        <v>4</v>
      </c>
      <c r="Q9" s="22"/>
      <c r="R9" s="22"/>
      <c r="S9" s="22"/>
      <c r="T9" s="22"/>
      <c r="U9" s="22"/>
      <c r="V9" s="22"/>
      <c r="W9" s="22"/>
      <c r="X9" s="22"/>
      <c r="Y9" s="22"/>
      <c r="Z9" s="22"/>
      <c r="AA9" s="22"/>
      <c r="AB9" s="22"/>
      <c r="AC9" s="22"/>
      <c r="AD9" s="22"/>
      <c r="AE9" s="22"/>
      <c r="AF9" s="22"/>
      <c r="AG9" s="22"/>
      <c r="AH9" s="22"/>
      <c r="AI9" s="22"/>
      <c r="AJ9" s="22"/>
    </row>
    <row r="10" spans="1:36 16372:16372" ht="15.75" customHeight="1" x14ac:dyDescent="0.3">
      <c r="A10" s="22"/>
      <c r="B10" s="1"/>
      <c r="C10" s="1"/>
      <c r="D10" s="1"/>
      <c r="E10" s="1"/>
      <c r="F10" s="35" t="s">
        <v>24</v>
      </c>
      <c r="G10" s="35" t="s">
        <v>25</v>
      </c>
      <c r="H10" s="35" t="s">
        <v>26</v>
      </c>
      <c r="I10" s="31" t="s">
        <v>27</v>
      </c>
      <c r="J10" s="36">
        <f>+F7*12</f>
        <v>0.21918364082346109</v>
      </c>
      <c r="K10" s="6"/>
      <c r="L10" s="25" t="s">
        <v>28</v>
      </c>
      <c r="M10" s="9"/>
      <c r="N10" s="9"/>
      <c r="P10" s="37">
        <f>+(P14*10.504%)*1.19</f>
        <v>0</v>
      </c>
      <c r="Q10" s="22"/>
      <c r="R10" s="22"/>
      <c r="S10" s="22"/>
      <c r="T10" s="22"/>
      <c r="U10" s="22"/>
      <c r="V10" s="22"/>
      <c r="W10" s="22"/>
      <c r="X10" s="22"/>
      <c r="Y10" s="22"/>
      <c r="Z10" s="22"/>
      <c r="AA10" s="22"/>
      <c r="AB10" s="22"/>
      <c r="AC10" s="22"/>
      <c r="AD10" s="22"/>
      <c r="AE10" s="22"/>
      <c r="AF10" s="22"/>
      <c r="AG10" s="22"/>
      <c r="AH10" s="22"/>
      <c r="AI10" s="22"/>
      <c r="AJ10" s="22"/>
    </row>
    <row r="11" spans="1:36 16372:16372" ht="13.5" hidden="1" customHeight="1" x14ac:dyDescent="0.3">
      <c r="A11" s="22"/>
      <c r="B11" s="38"/>
      <c r="C11" s="39"/>
      <c r="D11" s="39"/>
      <c r="E11" s="39"/>
      <c r="F11" s="39"/>
      <c r="G11" s="39"/>
      <c r="H11" s="39"/>
      <c r="I11" s="39"/>
      <c r="J11" s="39"/>
      <c r="K11" s="40"/>
      <c r="L11" s="41"/>
      <c r="M11" s="21"/>
      <c r="N11" s="41"/>
      <c r="O11" s="41"/>
      <c r="P11" s="24"/>
      <c r="Q11" s="22"/>
      <c r="R11" s="22"/>
      <c r="S11" s="22"/>
      <c r="T11" s="22"/>
      <c r="U11" s="22"/>
      <c r="V11" s="22"/>
      <c r="W11" s="22"/>
      <c r="X11" s="22"/>
      <c r="Y11" s="22"/>
      <c r="Z11" s="22"/>
      <c r="AA11" s="22"/>
      <c r="AB11" s="22"/>
      <c r="AC11" s="22"/>
      <c r="AD11" s="22"/>
      <c r="AE11" s="22"/>
      <c r="AF11" s="22"/>
      <c r="AG11" s="22"/>
      <c r="AH11" s="22"/>
      <c r="AI11" s="22"/>
      <c r="AJ11" s="22"/>
    </row>
    <row r="12" spans="1:36 16372:16372" ht="4.5" customHeight="1" x14ac:dyDescent="0.3">
      <c r="A12" s="22"/>
      <c r="B12" s="42"/>
      <c r="C12" s="19"/>
      <c r="D12" s="19"/>
      <c r="E12" s="19"/>
      <c r="F12" s="19"/>
      <c r="G12" s="19"/>
      <c r="H12" s="19"/>
      <c r="I12" s="19"/>
      <c r="J12" s="19"/>
      <c r="K12" s="43"/>
      <c r="L12" s="43"/>
      <c r="M12" s="21"/>
      <c r="N12" s="43"/>
      <c r="O12" s="43"/>
      <c r="P12" s="24"/>
      <c r="Q12" s="22"/>
      <c r="R12" s="22"/>
      <c r="S12" s="22"/>
      <c r="T12" s="22"/>
      <c r="U12" s="22"/>
      <c r="V12" s="22"/>
      <c r="W12" s="22"/>
      <c r="X12" s="22"/>
      <c r="Y12" s="22"/>
      <c r="Z12" s="22"/>
      <c r="AA12" s="22"/>
      <c r="AB12" s="22"/>
      <c r="AC12" s="22"/>
      <c r="AD12" s="22"/>
      <c r="AE12" s="22"/>
      <c r="AF12" s="22"/>
      <c r="AG12" s="22"/>
      <c r="AH12" s="22"/>
      <c r="AI12" s="22"/>
      <c r="AJ12" s="22"/>
    </row>
    <row r="13" spans="1:36 16372:16372" ht="16.5" customHeight="1" x14ac:dyDescent="0.3">
      <c r="B13" s="245" t="s">
        <v>29</v>
      </c>
      <c r="C13" s="245"/>
      <c r="D13" s="245"/>
      <c r="E13" s="245"/>
      <c r="F13" s="245"/>
      <c r="G13" s="245"/>
      <c r="H13" s="245"/>
      <c r="I13" s="245"/>
      <c r="J13" s="245"/>
      <c r="K13" s="245"/>
      <c r="L13" s="246" t="s">
        <v>30</v>
      </c>
      <c r="M13" s="246"/>
      <c r="N13" s="247" t="s">
        <v>31</v>
      </c>
      <c r="O13" s="247"/>
      <c r="P13" s="26"/>
      <c r="Q13" s="22"/>
      <c r="R13" s="22"/>
      <c r="S13" s="22"/>
      <c r="T13" s="22"/>
      <c r="U13" s="22"/>
      <c r="V13" s="22"/>
      <c r="W13" s="22"/>
      <c r="X13" s="22"/>
      <c r="Y13" s="22"/>
      <c r="Z13" s="22"/>
      <c r="AA13" s="22"/>
      <c r="AB13" s="22"/>
      <c r="AC13" s="22"/>
      <c r="AD13" s="22"/>
      <c r="AE13" s="22"/>
      <c r="AF13" s="22"/>
      <c r="AG13" s="22"/>
      <c r="AH13" s="22"/>
      <c r="AI13" s="22"/>
      <c r="AJ13" s="22"/>
    </row>
    <row r="14" spans="1:36 16372:16372" ht="16.5" customHeight="1" x14ac:dyDescent="0.3">
      <c r="B14" s="245"/>
      <c r="C14" s="245"/>
      <c r="D14" s="245"/>
      <c r="E14" s="245"/>
      <c r="F14" s="245"/>
      <c r="G14" s="245"/>
      <c r="H14" s="245"/>
      <c r="I14" s="245"/>
      <c r="J14" s="245"/>
      <c r="K14" s="245"/>
      <c r="L14" s="246"/>
      <c r="M14" s="246"/>
      <c r="N14" s="247" t="s">
        <v>32</v>
      </c>
      <c r="O14" s="247"/>
      <c r="P14" s="26"/>
      <c r="Q14" s="22"/>
      <c r="R14" s="22"/>
      <c r="S14" s="22"/>
      <c r="T14" s="22"/>
      <c r="U14" s="22"/>
      <c r="V14" s="22"/>
      <c r="W14" s="22"/>
      <c r="X14" s="22"/>
      <c r="Y14" s="22"/>
      <c r="Z14" s="22"/>
      <c r="AA14" s="22"/>
      <c r="AB14" s="22"/>
      <c r="AC14" s="22"/>
      <c r="AD14" s="22"/>
      <c r="AE14" s="22"/>
      <c r="AF14" s="22"/>
      <c r="AG14" s="22"/>
      <c r="AH14" s="22"/>
      <c r="AI14" s="22"/>
      <c r="AJ14" s="22"/>
    </row>
    <row r="15" spans="1:36 16372:16372" ht="4.5" customHeight="1" x14ac:dyDescent="0.3">
      <c r="B15" s="44"/>
      <c r="C15" s="15"/>
      <c r="D15" s="15"/>
      <c r="E15" s="15"/>
      <c r="F15" s="15"/>
      <c r="G15" s="15"/>
      <c r="H15" s="15"/>
      <c r="I15" s="15"/>
      <c r="J15" s="15"/>
      <c r="K15" s="15"/>
      <c r="L15" s="15"/>
      <c r="M15" s="15"/>
      <c r="N15" s="15"/>
      <c r="O15" s="15"/>
      <c r="P15" s="45"/>
      <c r="Q15" s="22"/>
      <c r="R15" s="22"/>
      <c r="S15" s="22"/>
      <c r="T15" s="22"/>
      <c r="U15" s="22"/>
      <c r="V15" s="22"/>
      <c r="W15" s="22"/>
      <c r="X15" s="22"/>
      <c r="Y15" s="22"/>
      <c r="Z15" s="22"/>
      <c r="AA15" s="22"/>
      <c r="AB15" s="22"/>
      <c r="AC15" s="22"/>
      <c r="AD15" s="22"/>
      <c r="AE15" s="22"/>
      <c r="AF15" s="22"/>
      <c r="AG15" s="22"/>
      <c r="AH15" s="22"/>
      <c r="AI15" s="22"/>
      <c r="AJ15" s="22"/>
    </row>
    <row r="16" spans="1:36 16372:16372" ht="6.75" customHeight="1" x14ac:dyDescent="0.3">
      <c r="B16" s="46"/>
      <c r="C16" s="47"/>
      <c r="D16" s="47"/>
      <c r="E16" s="47"/>
      <c r="F16" s="47"/>
      <c r="G16" s="47"/>
      <c r="H16" s="47"/>
      <c r="I16" s="47"/>
      <c r="J16" s="47"/>
      <c r="K16" s="47"/>
      <c r="L16" s="47"/>
      <c r="M16" s="47"/>
      <c r="N16" s="47"/>
      <c r="O16" s="47"/>
      <c r="P16" s="24"/>
      <c r="Q16" s="22"/>
      <c r="R16" s="22"/>
      <c r="S16" s="22"/>
      <c r="T16" s="22"/>
      <c r="U16" s="22"/>
      <c r="V16" s="22"/>
      <c r="W16" s="22"/>
      <c r="X16" s="22"/>
      <c r="Y16" s="22"/>
      <c r="Z16" s="22"/>
      <c r="AA16" s="22"/>
      <c r="AB16" s="22"/>
      <c r="AC16" s="22"/>
      <c r="AD16" s="22"/>
      <c r="AE16" s="22"/>
      <c r="AF16" s="22"/>
      <c r="AG16" s="22"/>
      <c r="AH16" s="22"/>
      <c r="AI16" s="22"/>
      <c r="AJ16" s="22"/>
    </row>
    <row r="17" spans="1:36" s="55" customFormat="1" ht="25.5" customHeight="1" x14ac:dyDescent="0.3">
      <c r="A17" s="48"/>
      <c r="B17" s="49" t="s">
        <v>33</v>
      </c>
      <c r="C17" s="248" t="s">
        <v>34</v>
      </c>
      <c r="D17" s="248"/>
      <c r="E17" s="248"/>
      <c r="F17" s="249" t="s">
        <v>35</v>
      </c>
      <c r="G17" s="249"/>
      <c r="H17" s="249"/>
      <c r="I17" s="50"/>
      <c r="J17" s="250" t="s">
        <v>36</v>
      </c>
      <c r="K17" s="250"/>
      <c r="L17" s="51" t="s">
        <v>37</v>
      </c>
      <c r="M17" s="52" t="s">
        <v>38</v>
      </c>
      <c r="N17" s="52" t="s">
        <v>39</v>
      </c>
      <c r="O17" s="53" t="s">
        <v>33</v>
      </c>
      <c r="P17" s="54" t="s">
        <v>40</v>
      </c>
      <c r="Q17" s="22"/>
      <c r="R17" s="22"/>
      <c r="S17" s="22"/>
      <c r="T17" s="22"/>
      <c r="U17" s="22"/>
      <c r="V17" s="22"/>
      <c r="W17" s="22"/>
      <c r="X17" s="22"/>
      <c r="Y17" s="22"/>
      <c r="Z17" s="22"/>
      <c r="AA17" s="22"/>
      <c r="AB17" s="22"/>
      <c r="AC17" s="22"/>
      <c r="AD17" s="22"/>
      <c r="AE17" s="22"/>
      <c r="AF17" s="22"/>
      <c r="AG17" s="22"/>
      <c r="AH17" s="22"/>
      <c r="AI17" s="22"/>
      <c r="AJ17" s="22"/>
    </row>
    <row r="18" spans="1:36" ht="13.5" customHeight="1" x14ac:dyDescent="0.3">
      <c r="A18" s="56"/>
      <c r="B18" s="57">
        <v>0</v>
      </c>
      <c r="C18" s="58">
        <f>F9</f>
        <v>14</v>
      </c>
      <c r="D18" s="59" t="str">
        <f>IF($G$9=1,"Ene",IF($G$9=2,"Feb",IF($G$9=3,"Mar",IF($G$9=4,"Abr",IF($G$9=5,"May",IF($G$9=6,"Jun",IF($G$9=7,"Jul",IF($G$9=8,"Ago",IF($G$9=9,"Sep",IF($G$9=10,"Oct",IF($G$9=11,"Nov","Dic")))))))))))</f>
        <v>Ene</v>
      </c>
      <c r="E18" s="60">
        <f>H9</f>
        <v>2026</v>
      </c>
      <c r="F18" s="251">
        <f>F6</f>
        <v>30000</v>
      </c>
      <c r="G18" s="251"/>
      <c r="H18" s="251"/>
      <c r="I18" s="252"/>
      <c r="J18" s="253"/>
      <c r="K18" s="253"/>
      <c r="L18" s="61"/>
      <c r="M18" s="61"/>
      <c r="N18" s="61"/>
      <c r="O18" s="61"/>
      <c r="P18" s="62"/>
      <c r="Q18" s="22"/>
      <c r="R18" s="22"/>
      <c r="S18" s="22"/>
      <c r="T18" s="22"/>
      <c r="U18" s="22"/>
      <c r="V18" s="22"/>
      <c r="W18" s="22"/>
      <c r="X18" s="22"/>
      <c r="Y18" s="22"/>
      <c r="Z18" s="22"/>
      <c r="AA18" s="22"/>
      <c r="AB18" s="22"/>
      <c r="AC18" s="22"/>
      <c r="AD18" s="22"/>
      <c r="AE18" s="22"/>
      <c r="AF18" s="22"/>
      <c r="AG18" s="22"/>
      <c r="AH18" s="22"/>
      <c r="AI18" s="22"/>
      <c r="AJ18" s="22"/>
    </row>
    <row r="19" spans="1:36" ht="13.5" customHeight="1" x14ac:dyDescent="0.3">
      <c r="A19" s="56"/>
      <c r="B19" s="63">
        <f>+IF(P19&gt;1,B18+1,"-")</f>
        <v>1</v>
      </c>
      <c r="C19" s="64">
        <f>IF(J19&gt;0,$C$18,"-")</f>
        <v>14</v>
      </c>
      <c r="D19" s="65" t="str">
        <f>IF(C19="-","-",(IF($D18="Ene","Feb",IF($D18="Feb","Mar",IF($D18="Mar","Abr",IF($D18="Abr","May",IF($D18="May","Jun",IF($D18="Jun","Jul",IF($D18="Jul","Ago",IF($D18="Ago","Sep",IF($D18="Sep","Oct",IF($D18="Oct","Nov",IF($D18="Nov","Dic","Ene")))))))))))))</f>
        <v>Feb</v>
      </c>
      <c r="E19" s="66">
        <f>IF(C19="-","-",+IF($D18="Ene",E18,IF($D18="Feb",E18,IF($D18="Mar",E18,IF($D18="Abr",E18,IF($D18="May",E18,IF($D18="Jun",E18,IF($D18="Jul",E18,IF($D18="Ago",E18,IF($D18="Sep",E18,IF($D18="Oct",E18,IF($D18="Nov",E18,(E18+1)))))))))))))</f>
        <v>2026</v>
      </c>
      <c r="F19" s="251">
        <f>+(F18-J19)</f>
        <v>15135.750017882936</v>
      </c>
      <c r="G19" s="251"/>
      <c r="H19" s="251"/>
      <c r="I19" s="252"/>
      <c r="J19" s="254">
        <f>+($O$19-$L$19)</f>
        <v>14864.249982117064</v>
      </c>
      <c r="K19" s="254"/>
      <c r="L19" s="67">
        <f>+(F18*$F$7)</f>
        <v>547.95910205865277</v>
      </c>
      <c r="M19" s="67">
        <f>IF(J19&gt;0,((+$F$6*1.9)/1000),0)</f>
        <v>57</v>
      </c>
      <c r="N19" s="67">
        <f>IF(J19&gt;0,$P$10,0)</f>
        <v>0</v>
      </c>
      <c r="O19" s="67">
        <f>+(-PMT($F$7,$F$8,$F$6,0,0))</f>
        <v>15412.209084175716</v>
      </c>
      <c r="P19" s="68">
        <f>O19+M19+N19</f>
        <v>15469.209084175716</v>
      </c>
      <c r="Q19" s="22"/>
      <c r="R19" s="22"/>
      <c r="S19" s="22"/>
      <c r="T19" s="22"/>
      <c r="U19" s="22"/>
      <c r="V19" s="22"/>
      <c r="W19" s="22"/>
      <c r="X19" s="22"/>
      <c r="Y19" s="22"/>
      <c r="Z19" s="22"/>
      <c r="AA19" s="22"/>
      <c r="AB19" s="22"/>
      <c r="AC19" s="22"/>
      <c r="AD19" s="22"/>
      <c r="AE19" s="22"/>
      <c r="AF19" s="22"/>
      <c r="AG19" s="22"/>
      <c r="AH19" s="22"/>
      <c r="AI19" s="22"/>
      <c r="AJ19" s="22"/>
    </row>
    <row r="20" spans="1:36" ht="13.5" customHeight="1" x14ac:dyDescent="0.3">
      <c r="A20" s="56"/>
      <c r="B20" s="63">
        <f>+IF(P20&gt;1,B19+1,"-")</f>
        <v>2</v>
      </c>
      <c r="C20" s="64">
        <f>IF(J20&gt;0,$C$18,"-")</f>
        <v>14</v>
      </c>
      <c r="D20" s="65" t="str">
        <f>IF(C20="-","-",(IF($D19="Ene","Feb",IF($D19="Feb","Mar",IF($D19="Mar","Abr",IF($D19="Abr","May",IF($D19="May","Jun",IF($D19="Jun","Jul",IF($D19="Jul","Ago",IF($D19="Ago","Sep",IF($D19="Sep","Oct",IF($D19="Oct","Nov",IF($D19="Nov","Dic","Ene")))))))))))))</f>
        <v>Mar</v>
      </c>
      <c r="E20" s="66">
        <f>IF(C20="-","-",+IF($D19="Ene",E19,IF($D19="Feb",E19,IF($D19="Mar",E19,IF($D19="Abr",E19,IF($D19="May",E19,IF($D19="Jun",E19,IF($D19="Jul",E19,IF($D19="Ago",E19,IF($D19="Sep",E19,IF($D19="Oct",E19,IF($D19="Nov",E19,(E19+1)))))))))))))</f>
        <v>2026</v>
      </c>
      <c r="F20" s="251">
        <f>IF(F8&lt;=1,0,+F19-J20)</f>
        <v>-1.8189894035458565E-12</v>
      </c>
      <c r="G20" s="251"/>
      <c r="H20" s="251"/>
      <c r="I20" s="252"/>
      <c r="J20" s="255">
        <f>+IF(F8&lt;=1,0,($O$19-$L$20))</f>
        <v>15135.750017882938</v>
      </c>
      <c r="K20" s="255"/>
      <c r="L20" s="67">
        <f>+(F19*$F$7)</f>
        <v>276.45906629277903</v>
      </c>
      <c r="M20" s="67">
        <f>IF(J20&gt;0,((+$F$6*1.9)/1000),0)</f>
        <v>57</v>
      </c>
      <c r="N20" s="67">
        <f>IF(J20&gt;0,$P$10,0)</f>
        <v>0</v>
      </c>
      <c r="O20" s="67">
        <f>IF(F8=1,0,(-PMT($F$7,$F$8,$F$6,0,0)))</f>
        <v>15412.209084175716</v>
      </c>
      <c r="P20" s="68">
        <f>O20+M20+N20</f>
        <v>15469.209084175716</v>
      </c>
      <c r="Q20" s="22"/>
      <c r="R20" s="22"/>
      <c r="S20" s="22"/>
      <c r="T20" s="22"/>
      <c r="U20" s="22"/>
      <c r="V20" s="22"/>
      <c r="W20" s="22"/>
      <c r="X20" s="22"/>
      <c r="Y20" s="22"/>
      <c r="Z20" s="22"/>
      <c r="AA20" s="22"/>
      <c r="AB20" s="22"/>
      <c r="AC20" s="22"/>
      <c r="AD20" s="22"/>
      <c r="AE20" s="22"/>
      <c r="AF20" s="22"/>
      <c r="AG20" s="22"/>
      <c r="AH20" s="22"/>
      <c r="AI20" s="22"/>
      <c r="AJ20" s="22"/>
    </row>
    <row r="21" spans="1:36" ht="13.5" customHeight="1" x14ac:dyDescent="0.3">
      <c r="A21" s="19"/>
      <c r="B21" s="256"/>
      <c r="C21" s="256"/>
      <c r="D21" s="256"/>
      <c r="E21" s="256"/>
      <c r="F21" s="256"/>
      <c r="G21" s="256"/>
      <c r="H21" s="256"/>
      <c r="I21" s="69"/>
      <c r="J21" s="257">
        <f>+J20+J19</f>
        <v>30000</v>
      </c>
      <c r="K21" s="257"/>
      <c r="L21" s="70">
        <f>+L20+L19</f>
        <v>824.41816835143186</v>
      </c>
      <c r="M21" s="70">
        <f>+M20+M19</f>
        <v>114</v>
      </c>
      <c r="N21" s="70">
        <f>+N20+N19</f>
        <v>0</v>
      </c>
      <c r="O21" s="70">
        <f>+O20+O19</f>
        <v>30824.418168351433</v>
      </c>
      <c r="P21" s="71">
        <f>+P20+P19</f>
        <v>30938.418168351433</v>
      </c>
      <c r="Q21" s="22"/>
      <c r="R21" s="22"/>
      <c r="S21" s="22"/>
      <c r="T21" s="22"/>
      <c r="U21" s="22"/>
      <c r="V21" s="22"/>
      <c r="W21" s="22"/>
      <c r="X21" s="22"/>
      <c r="Y21" s="22"/>
      <c r="Z21" s="22"/>
      <c r="AA21" s="22"/>
      <c r="AB21" s="22"/>
      <c r="AC21" s="22"/>
      <c r="AD21" s="22"/>
      <c r="AE21" s="22"/>
      <c r="AF21" s="22"/>
      <c r="AG21" s="22"/>
      <c r="AH21" s="22"/>
      <c r="AI21" s="22"/>
      <c r="AJ21" s="22"/>
    </row>
    <row r="22" spans="1:36" ht="14.25" hidden="1" customHeight="1" x14ac:dyDescent="0.3">
      <c r="A22" s="22"/>
      <c r="P22" s="22"/>
      <c r="Q22" s="22"/>
      <c r="R22" s="22"/>
      <c r="S22" s="22"/>
      <c r="T22" s="22"/>
      <c r="U22" s="22"/>
      <c r="V22" s="22"/>
      <c r="W22" s="22"/>
      <c r="X22" s="22"/>
      <c r="Y22" s="22"/>
      <c r="Z22" s="22"/>
      <c r="AA22" s="22"/>
      <c r="AB22" s="22"/>
      <c r="AC22" s="22"/>
      <c r="AD22" s="22"/>
      <c r="AE22" s="22"/>
      <c r="AF22" s="22"/>
      <c r="AG22" s="22"/>
      <c r="AH22" s="22"/>
      <c r="AI22" s="22"/>
      <c r="AJ22" s="22"/>
    </row>
    <row r="23" spans="1:36" ht="14.25" hidden="1" customHeight="1" x14ac:dyDescent="0.3">
      <c r="A23" s="22"/>
      <c r="P23" s="22"/>
      <c r="Q23" s="22"/>
      <c r="R23" s="22"/>
      <c r="S23" s="22"/>
      <c r="T23" s="22"/>
      <c r="U23" s="22"/>
      <c r="V23" s="22"/>
      <c r="W23" s="22"/>
      <c r="X23" s="22"/>
      <c r="Y23" s="22"/>
      <c r="Z23" s="22"/>
      <c r="AA23" s="22"/>
      <c r="AB23" s="22"/>
      <c r="AC23" s="22"/>
      <c r="AD23" s="22"/>
      <c r="AE23" s="22"/>
      <c r="AF23" s="22"/>
      <c r="AG23" s="22"/>
      <c r="AH23" s="22"/>
      <c r="AI23" s="22"/>
      <c r="AJ23" s="22"/>
    </row>
    <row r="24" spans="1:36" ht="14.25" hidden="1" customHeight="1" x14ac:dyDescent="0.3">
      <c r="A24" s="22"/>
      <c r="P24" s="22"/>
      <c r="Q24" s="22"/>
      <c r="R24" s="22"/>
      <c r="S24" s="22"/>
      <c r="T24" s="22"/>
      <c r="U24" s="22"/>
      <c r="V24" s="22"/>
      <c r="W24" s="22"/>
      <c r="X24" s="22"/>
      <c r="Y24" s="22"/>
      <c r="Z24" s="22"/>
      <c r="AA24" s="22"/>
      <c r="AB24" s="22"/>
      <c r="AC24" s="22"/>
      <c r="AD24" s="22"/>
      <c r="AE24" s="22"/>
      <c r="AF24" s="22"/>
      <c r="AG24" s="22"/>
      <c r="AH24" s="22"/>
      <c r="AI24" s="22"/>
      <c r="AJ24" s="22"/>
    </row>
    <row r="25" spans="1:36" ht="14.25" hidden="1" customHeight="1" x14ac:dyDescent="0.3">
      <c r="A25" s="22"/>
      <c r="P25" s="22"/>
      <c r="Q25" s="22"/>
      <c r="R25" s="22"/>
      <c r="S25" s="22"/>
      <c r="T25" s="22"/>
      <c r="U25" s="22"/>
      <c r="V25" s="22"/>
      <c r="W25" s="22"/>
      <c r="X25" s="22"/>
      <c r="Y25" s="22"/>
      <c r="Z25" s="22"/>
      <c r="AA25" s="22"/>
      <c r="AB25" s="22"/>
      <c r="AC25" s="22"/>
      <c r="AD25" s="22"/>
      <c r="AE25" s="22"/>
      <c r="AF25" s="22"/>
      <c r="AG25" s="22"/>
      <c r="AH25" s="22"/>
      <c r="AI25" s="22"/>
      <c r="AJ25" s="22"/>
    </row>
    <row r="26" spans="1:36" ht="14.25" hidden="1" customHeight="1" x14ac:dyDescent="0.3">
      <c r="A26" s="22"/>
      <c r="P26" s="22"/>
      <c r="Q26" s="22"/>
      <c r="R26" s="22"/>
      <c r="S26" s="22"/>
      <c r="T26" s="22"/>
      <c r="U26" s="22"/>
      <c r="V26" s="22"/>
      <c r="W26" s="22"/>
      <c r="X26" s="22"/>
      <c r="Y26" s="22"/>
      <c r="Z26" s="22"/>
      <c r="AA26" s="22"/>
      <c r="AB26" s="22"/>
      <c r="AC26" s="22"/>
      <c r="AD26" s="22"/>
      <c r="AE26" s="22"/>
      <c r="AF26" s="22"/>
      <c r="AG26" s="22"/>
      <c r="AH26" s="22"/>
      <c r="AI26" s="22"/>
      <c r="AJ26" s="22"/>
    </row>
    <row r="27" spans="1:36" ht="14.25" hidden="1" customHeight="1" x14ac:dyDescent="0.3">
      <c r="A27" s="22"/>
      <c r="P27" s="22"/>
      <c r="Q27" s="22"/>
      <c r="R27" s="22"/>
      <c r="S27" s="22"/>
      <c r="T27" s="22"/>
      <c r="U27" s="22"/>
      <c r="V27" s="22"/>
      <c r="W27" s="22"/>
      <c r="X27" s="22"/>
      <c r="Y27" s="22"/>
      <c r="Z27" s="22"/>
      <c r="AA27" s="22"/>
      <c r="AB27" s="22"/>
      <c r="AC27" s="22"/>
      <c r="AD27" s="22"/>
      <c r="AE27" s="22"/>
      <c r="AF27" s="22"/>
      <c r="AG27" s="22"/>
      <c r="AH27" s="22"/>
      <c r="AI27" s="22"/>
      <c r="AJ27" s="22"/>
    </row>
    <row r="28" spans="1:36" ht="14.25" hidden="1" customHeight="1" x14ac:dyDescent="0.3">
      <c r="A28" s="22"/>
      <c r="P28" s="22"/>
      <c r="Q28" s="22"/>
      <c r="R28" s="22"/>
      <c r="S28" s="22"/>
      <c r="T28" s="22"/>
      <c r="U28" s="22"/>
      <c r="V28" s="22"/>
      <c r="W28" s="22"/>
      <c r="X28" s="22"/>
      <c r="Y28" s="22"/>
      <c r="Z28" s="22"/>
      <c r="AA28" s="22"/>
      <c r="AB28" s="22"/>
      <c r="AC28" s="22"/>
      <c r="AD28" s="22"/>
      <c r="AE28" s="22"/>
      <c r="AF28" s="22"/>
      <c r="AG28" s="22"/>
      <c r="AH28" s="22"/>
      <c r="AI28" s="22"/>
      <c r="AJ28" s="22"/>
    </row>
    <row r="29" spans="1:36" ht="14.25" hidden="1" customHeight="1" x14ac:dyDescent="0.3">
      <c r="A29" s="22"/>
      <c r="P29" s="22"/>
      <c r="Q29" s="22"/>
      <c r="R29" s="22"/>
      <c r="S29" s="22"/>
      <c r="T29" s="22"/>
      <c r="U29" s="22"/>
      <c r="V29" s="22"/>
      <c r="W29" s="22"/>
      <c r="X29" s="22"/>
      <c r="Y29" s="22"/>
      <c r="Z29" s="22"/>
      <c r="AA29" s="22"/>
      <c r="AB29" s="22"/>
      <c r="AC29" s="22"/>
      <c r="AD29" s="22"/>
      <c r="AE29" s="22"/>
      <c r="AF29" s="22"/>
      <c r="AG29" s="22"/>
      <c r="AH29" s="22"/>
      <c r="AI29" s="22"/>
      <c r="AJ29" s="22"/>
    </row>
    <row r="30" spans="1:36" ht="14.25" hidden="1" customHeight="1" x14ac:dyDescent="0.3">
      <c r="A30" s="22"/>
      <c r="P30" s="22"/>
      <c r="Q30" s="22"/>
      <c r="R30" s="22"/>
      <c r="S30" s="22"/>
      <c r="T30" s="22"/>
      <c r="U30" s="22"/>
      <c r="V30" s="22"/>
      <c r="W30" s="22"/>
      <c r="X30" s="22"/>
      <c r="Y30" s="22"/>
      <c r="Z30" s="22"/>
      <c r="AA30" s="22"/>
      <c r="AB30" s="22"/>
      <c r="AC30" s="22"/>
      <c r="AD30" s="22"/>
      <c r="AE30" s="22"/>
      <c r="AF30" s="22"/>
      <c r="AG30" s="22"/>
      <c r="AH30" s="22"/>
      <c r="AI30" s="22"/>
      <c r="AJ30" s="22"/>
    </row>
    <row r="31" spans="1:36" ht="14.25" hidden="1" customHeight="1" x14ac:dyDescent="0.3">
      <c r="A31" s="22"/>
      <c r="P31" s="22"/>
      <c r="Q31" s="22"/>
      <c r="R31" s="22"/>
      <c r="S31" s="22"/>
      <c r="T31" s="22"/>
      <c r="U31" s="22"/>
      <c r="V31" s="22"/>
      <c r="W31" s="22"/>
      <c r="X31" s="22"/>
      <c r="Y31" s="22"/>
      <c r="Z31" s="22"/>
      <c r="AA31" s="22"/>
      <c r="AB31" s="22"/>
      <c r="AC31" s="22"/>
      <c r="AD31" s="22"/>
      <c r="AE31" s="22"/>
      <c r="AF31" s="22"/>
      <c r="AG31" s="22"/>
      <c r="AH31" s="22"/>
      <c r="AI31" s="22"/>
      <c r="AJ31" s="22"/>
    </row>
    <row r="32" spans="1:36" ht="14.25" hidden="1" customHeight="1" x14ac:dyDescent="0.3">
      <c r="A32" s="22"/>
      <c r="P32" s="22"/>
      <c r="Q32" s="22"/>
      <c r="R32" s="22"/>
      <c r="S32" s="22"/>
      <c r="T32" s="22"/>
      <c r="U32" s="22"/>
      <c r="V32" s="22"/>
      <c r="W32" s="22"/>
      <c r="X32" s="22"/>
      <c r="Y32" s="22"/>
      <c r="Z32" s="22"/>
      <c r="AA32" s="22"/>
      <c r="AB32" s="22"/>
      <c r="AC32" s="22"/>
      <c r="AD32" s="22"/>
      <c r="AE32" s="22"/>
      <c r="AF32" s="22"/>
      <c r="AG32" s="22"/>
      <c r="AH32" s="22"/>
      <c r="AI32" s="22"/>
      <c r="AJ32" s="22"/>
    </row>
    <row r="33" spans="1:36" ht="14.25" hidden="1" customHeight="1" x14ac:dyDescent="0.3">
      <c r="A33" s="22"/>
      <c r="P33" s="22"/>
      <c r="Q33" s="22"/>
      <c r="R33" s="22"/>
      <c r="S33" s="22"/>
      <c r="T33" s="22"/>
      <c r="U33" s="22"/>
      <c r="V33" s="22"/>
      <c r="W33" s="22"/>
      <c r="X33" s="22"/>
      <c r="Y33" s="22"/>
      <c r="Z33" s="22"/>
      <c r="AA33" s="22"/>
      <c r="AB33" s="22"/>
      <c r="AC33" s="22"/>
      <c r="AD33" s="22"/>
      <c r="AE33" s="22"/>
      <c r="AF33" s="22"/>
      <c r="AG33" s="22"/>
      <c r="AH33" s="22"/>
      <c r="AI33" s="22"/>
      <c r="AJ33" s="22"/>
    </row>
    <row r="34" spans="1:36" ht="14.25" hidden="1" customHeight="1" x14ac:dyDescent="0.3">
      <c r="A34" s="22"/>
      <c r="P34" s="22"/>
      <c r="Q34" s="22"/>
      <c r="R34" s="22"/>
      <c r="S34" s="22"/>
      <c r="T34" s="22"/>
      <c r="U34" s="22"/>
      <c r="V34" s="22"/>
      <c r="W34" s="22"/>
      <c r="X34" s="22"/>
      <c r="Y34" s="22"/>
      <c r="Z34" s="22"/>
      <c r="AA34" s="22"/>
      <c r="AB34" s="22"/>
      <c r="AC34" s="22"/>
      <c r="AD34" s="22"/>
      <c r="AE34" s="22"/>
      <c r="AF34" s="22"/>
      <c r="AG34" s="22"/>
      <c r="AH34" s="22"/>
      <c r="AI34" s="22"/>
      <c r="AJ34" s="22"/>
    </row>
    <row r="35" spans="1:36" ht="14.25" hidden="1" customHeight="1" x14ac:dyDescent="0.3">
      <c r="A35" s="22"/>
      <c r="P35" s="22"/>
      <c r="Q35" s="22"/>
      <c r="R35" s="22"/>
      <c r="S35" s="22"/>
      <c r="T35" s="22"/>
      <c r="U35" s="22"/>
      <c r="V35" s="22"/>
      <c r="W35" s="22"/>
      <c r="X35" s="22"/>
      <c r="Y35" s="22"/>
      <c r="Z35" s="22"/>
      <c r="AA35" s="22"/>
      <c r="AB35" s="22"/>
      <c r="AC35" s="22"/>
      <c r="AD35" s="22"/>
      <c r="AE35" s="22"/>
      <c r="AF35" s="22"/>
      <c r="AG35" s="22"/>
      <c r="AH35" s="22"/>
      <c r="AI35" s="22"/>
      <c r="AJ35" s="22"/>
    </row>
    <row r="36" spans="1:36" ht="14.25" hidden="1" customHeight="1" x14ac:dyDescent="0.3">
      <c r="A36" s="22"/>
      <c r="P36" s="22"/>
      <c r="Q36" s="22"/>
      <c r="R36" s="22"/>
      <c r="S36" s="22"/>
      <c r="T36" s="22"/>
      <c r="U36" s="22"/>
      <c r="V36" s="22"/>
      <c r="W36" s="22"/>
      <c r="X36" s="22"/>
      <c r="Y36" s="22"/>
      <c r="Z36" s="22"/>
      <c r="AA36" s="22"/>
      <c r="AB36" s="22"/>
      <c r="AC36" s="22"/>
      <c r="AD36" s="22"/>
      <c r="AE36" s="22"/>
      <c r="AF36" s="22"/>
      <c r="AG36" s="22"/>
      <c r="AH36" s="22"/>
      <c r="AI36" s="22"/>
      <c r="AJ36" s="22"/>
    </row>
    <row r="37" spans="1:36" ht="14.25" hidden="1" customHeight="1" x14ac:dyDescent="0.3">
      <c r="A37" s="22"/>
      <c r="P37" s="22"/>
      <c r="Q37" s="22"/>
      <c r="R37" s="22"/>
      <c r="S37" s="22"/>
      <c r="T37" s="22"/>
      <c r="U37" s="22"/>
      <c r="V37" s="22"/>
      <c r="W37" s="22"/>
      <c r="X37" s="22"/>
      <c r="Y37" s="22"/>
      <c r="Z37" s="22"/>
      <c r="AA37" s="22"/>
      <c r="AB37" s="22"/>
      <c r="AC37" s="22"/>
      <c r="AD37" s="22"/>
      <c r="AE37" s="22"/>
      <c r="AF37" s="22"/>
      <c r="AG37" s="22"/>
      <c r="AH37" s="22"/>
      <c r="AI37" s="22"/>
      <c r="AJ37" s="22"/>
    </row>
    <row r="38" spans="1:36" ht="14.25" hidden="1" customHeight="1" x14ac:dyDescent="0.3">
      <c r="A38" s="22"/>
      <c r="P38" s="22"/>
      <c r="Q38" s="22"/>
      <c r="R38" s="22"/>
      <c r="S38" s="22"/>
      <c r="T38" s="22"/>
      <c r="U38" s="22"/>
      <c r="V38" s="22"/>
      <c r="W38" s="22"/>
      <c r="X38" s="22"/>
      <c r="Y38" s="22"/>
      <c r="Z38" s="22"/>
      <c r="AA38" s="22"/>
      <c r="AB38" s="22"/>
      <c r="AC38" s="22"/>
      <c r="AD38" s="22"/>
      <c r="AE38" s="22"/>
      <c r="AF38" s="22"/>
      <c r="AG38" s="22"/>
      <c r="AH38" s="22"/>
      <c r="AI38" s="22"/>
      <c r="AJ38" s="22"/>
    </row>
    <row r="39" spans="1:36" ht="14.25" hidden="1" customHeight="1" x14ac:dyDescent="0.3">
      <c r="A39" s="22"/>
      <c r="P39" s="22"/>
      <c r="Q39" s="22"/>
      <c r="R39" s="22"/>
      <c r="S39" s="22"/>
      <c r="T39" s="22"/>
      <c r="U39" s="22"/>
      <c r="V39" s="22"/>
      <c r="W39" s="22"/>
      <c r="X39" s="22"/>
      <c r="Y39" s="22"/>
      <c r="Z39" s="22"/>
      <c r="AA39" s="22"/>
      <c r="AB39" s="22"/>
      <c r="AC39" s="22"/>
      <c r="AD39" s="22"/>
      <c r="AE39" s="22"/>
      <c r="AF39" s="22"/>
      <c r="AG39" s="22"/>
      <c r="AH39" s="22"/>
      <c r="AI39" s="22"/>
      <c r="AJ39" s="22"/>
    </row>
    <row r="40" spans="1:36" ht="14.25" hidden="1" customHeight="1" x14ac:dyDescent="0.3">
      <c r="A40" s="22"/>
      <c r="P40" s="22"/>
      <c r="Q40" s="22"/>
      <c r="R40" s="22"/>
      <c r="S40" s="22"/>
      <c r="T40" s="22"/>
      <c r="U40" s="22"/>
      <c r="V40" s="22"/>
      <c r="W40" s="22"/>
      <c r="X40" s="22"/>
      <c r="Y40" s="22"/>
      <c r="Z40" s="22"/>
      <c r="AA40" s="22"/>
      <c r="AB40" s="22"/>
      <c r="AC40" s="22"/>
      <c r="AD40" s="22"/>
      <c r="AE40" s="22"/>
      <c r="AF40" s="22"/>
      <c r="AG40" s="22"/>
      <c r="AH40" s="22"/>
      <c r="AI40" s="22"/>
      <c r="AJ40" s="22"/>
    </row>
    <row r="41" spans="1:36" ht="14.25" hidden="1" customHeight="1" x14ac:dyDescent="0.3">
      <c r="A41" s="22"/>
      <c r="P41" s="22"/>
      <c r="Q41" s="22"/>
      <c r="R41" s="22"/>
      <c r="S41" s="22"/>
      <c r="T41" s="22"/>
      <c r="U41" s="22"/>
      <c r="V41" s="22"/>
      <c r="W41" s="22"/>
      <c r="X41" s="22"/>
      <c r="Y41" s="22"/>
      <c r="Z41" s="22"/>
      <c r="AA41" s="22"/>
      <c r="AB41" s="22"/>
      <c r="AC41" s="22"/>
      <c r="AD41" s="22"/>
      <c r="AE41" s="22"/>
      <c r="AF41" s="22"/>
      <c r="AG41" s="22"/>
      <c r="AH41" s="22"/>
      <c r="AI41" s="22"/>
      <c r="AJ41" s="22"/>
    </row>
    <row r="42" spans="1:36" ht="14.25" hidden="1" customHeight="1" x14ac:dyDescent="0.3">
      <c r="A42" s="22"/>
      <c r="P42" s="22"/>
      <c r="Q42" s="22"/>
      <c r="R42" s="22"/>
      <c r="S42" s="22"/>
      <c r="T42" s="22"/>
      <c r="U42" s="22"/>
      <c r="V42" s="22"/>
      <c r="W42" s="22"/>
      <c r="X42" s="22"/>
      <c r="Y42" s="22"/>
      <c r="Z42" s="22"/>
      <c r="AA42" s="22"/>
      <c r="AB42" s="22"/>
      <c r="AC42" s="22"/>
      <c r="AD42" s="22"/>
      <c r="AE42" s="22"/>
      <c r="AF42" s="22"/>
      <c r="AG42" s="22"/>
      <c r="AH42" s="22"/>
      <c r="AI42" s="22"/>
      <c r="AJ42" s="22"/>
    </row>
    <row r="43" spans="1:36" ht="14.25" hidden="1" customHeight="1" x14ac:dyDescent="0.3">
      <c r="A43" s="22"/>
      <c r="P43" s="22"/>
      <c r="Q43" s="22"/>
      <c r="R43" s="22"/>
      <c r="S43" s="22"/>
      <c r="T43" s="22"/>
      <c r="U43" s="22"/>
      <c r="V43" s="22"/>
      <c r="W43" s="22"/>
      <c r="X43" s="22"/>
      <c r="Y43" s="22"/>
      <c r="Z43" s="22"/>
      <c r="AA43" s="22"/>
      <c r="AB43" s="22"/>
      <c r="AC43" s="22"/>
      <c r="AD43" s="22"/>
      <c r="AE43" s="22"/>
      <c r="AF43" s="22"/>
      <c r="AG43" s="22"/>
      <c r="AH43" s="22"/>
      <c r="AI43" s="22"/>
      <c r="AJ43" s="22"/>
    </row>
    <row r="44" spans="1:36" ht="14.25" hidden="1" customHeight="1" x14ac:dyDescent="0.3">
      <c r="A44" s="22"/>
      <c r="P44" s="22"/>
      <c r="Q44" s="22"/>
      <c r="R44" s="22"/>
      <c r="S44" s="22"/>
      <c r="T44" s="22"/>
      <c r="U44" s="22"/>
      <c r="V44" s="22"/>
      <c r="W44" s="22"/>
      <c r="X44" s="22"/>
      <c r="Y44" s="22"/>
      <c r="Z44" s="22"/>
      <c r="AA44" s="22"/>
      <c r="AB44" s="22"/>
      <c r="AC44" s="22"/>
      <c r="AD44" s="22"/>
      <c r="AE44" s="22"/>
      <c r="AF44" s="22"/>
      <c r="AG44" s="22"/>
      <c r="AH44" s="22"/>
      <c r="AI44" s="22"/>
      <c r="AJ44" s="22"/>
    </row>
    <row r="45" spans="1:36" ht="14.25" hidden="1" customHeight="1" x14ac:dyDescent="0.3">
      <c r="A45" s="22"/>
      <c r="P45" s="22"/>
      <c r="Q45" s="22"/>
      <c r="R45" s="22"/>
      <c r="S45" s="22"/>
      <c r="T45" s="22"/>
      <c r="U45" s="22"/>
      <c r="V45" s="22"/>
      <c r="W45" s="22"/>
      <c r="X45" s="22"/>
      <c r="Y45" s="22"/>
      <c r="Z45" s="22"/>
      <c r="AA45" s="22"/>
      <c r="AB45" s="22"/>
      <c r="AC45" s="22"/>
      <c r="AD45" s="22"/>
      <c r="AE45" s="22"/>
      <c r="AF45" s="22"/>
      <c r="AG45" s="22"/>
      <c r="AH45" s="22"/>
      <c r="AI45" s="22"/>
      <c r="AJ45" s="22"/>
    </row>
    <row r="46" spans="1:36" ht="14.25" hidden="1" customHeight="1" x14ac:dyDescent="0.3">
      <c r="A46" s="22"/>
      <c r="P46" s="22"/>
      <c r="Q46" s="22"/>
      <c r="R46" s="22"/>
      <c r="S46" s="22"/>
      <c r="T46" s="22"/>
      <c r="U46" s="22"/>
      <c r="V46" s="22"/>
      <c r="W46" s="22"/>
      <c r="X46" s="22"/>
      <c r="Y46" s="22"/>
      <c r="Z46" s="22"/>
      <c r="AA46" s="22"/>
      <c r="AB46" s="22"/>
      <c r="AC46" s="22"/>
      <c r="AD46" s="22"/>
      <c r="AE46" s="22"/>
      <c r="AF46" s="22"/>
      <c r="AG46" s="22"/>
      <c r="AH46" s="22"/>
      <c r="AI46" s="22"/>
      <c r="AJ46" s="22"/>
    </row>
    <row r="47" spans="1:36" ht="14.25" hidden="1" customHeight="1" x14ac:dyDescent="0.3">
      <c r="A47" s="22"/>
      <c r="P47" s="22"/>
      <c r="Q47" s="22"/>
      <c r="R47" s="22"/>
      <c r="S47" s="22"/>
      <c r="T47" s="22"/>
      <c r="U47" s="22"/>
      <c r="V47" s="22"/>
      <c r="W47" s="22"/>
      <c r="X47" s="22"/>
      <c r="Y47" s="22"/>
      <c r="Z47" s="22"/>
      <c r="AA47" s="22"/>
      <c r="AB47" s="22"/>
      <c r="AC47" s="22"/>
      <c r="AD47" s="22"/>
      <c r="AE47" s="22"/>
      <c r="AF47" s="22"/>
      <c r="AG47" s="22"/>
      <c r="AH47" s="22"/>
      <c r="AI47" s="22"/>
      <c r="AJ47" s="22"/>
    </row>
    <row r="48" spans="1:36" ht="14.25" hidden="1" customHeight="1" x14ac:dyDescent="0.3">
      <c r="A48" s="22"/>
      <c r="P48" s="22"/>
      <c r="Q48" s="22"/>
      <c r="R48" s="22"/>
      <c r="S48" s="22"/>
      <c r="T48" s="22"/>
      <c r="U48" s="22"/>
      <c r="V48" s="22"/>
      <c r="W48" s="22"/>
      <c r="X48" s="22"/>
      <c r="Y48" s="22"/>
      <c r="Z48" s="22"/>
      <c r="AA48" s="22"/>
      <c r="AB48" s="22"/>
      <c r="AC48" s="22"/>
      <c r="AD48" s="22"/>
      <c r="AE48" s="22"/>
      <c r="AF48" s="22"/>
      <c r="AG48" s="22"/>
      <c r="AH48" s="22"/>
      <c r="AI48" s="22"/>
      <c r="AJ48" s="22"/>
    </row>
    <row r="49" spans="1:36" ht="14.25" hidden="1" customHeight="1" x14ac:dyDescent="0.3">
      <c r="A49" s="22"/>
      <c r="P49" s="22"/>
      <c r="Q49" s="22"/>
      <c r="R49" s="22"/>
      <c r="S49" s="22"/>
      <c r="T49" s="22"/>
      <c r="U49" s="22"/>
      <c r="V49" s="22"/>
      <c r="W49" s="22"/>
      <c r="X49" s="22"/>
      <c r="Y49" s="22"/>
      <c r="Z49" s="22"/>
      <c r="AA49" s="22"/>
      <c r="AB49" s="22"/>
      <c r="AC49" s="22"/>
      <c r="AD49" s="22"/>
      <c r="AE49" s="22"/>
      <c r="AF49" s="22"/>
      <c r="AG49" s="22"/>
      <c r="AH49" s="22"/>
      <c r="AI49" s="22"/>
      <c r="AJ49" s="22"/>
    </row>
    <row r="50" spans="1:36" ht="14.25" hidden="1" customHeight="1" x14ac:dyDescent="0.3">
      <c r="A50" s="22"/>
      <c r="P50" s="22"/>
      <c r="Q50" s="22"/>
      <c r="R50" s="22"/>
      <c r="S50" s="22"/>
      <c r="T50" s="22"/>
      <c r="U50" s="22"/>
      <c r="V50" s="22"/>
      <c r="W50" s="22"/>
      <c r="X50" s="22"/>
      <c r="Y50" s="22"/>
      <c r="Z50" s="22"/>
      <c r="AA50" s="22"/>
      <c r="AB50" s="22"/>
      <c r="AC50" s="22"/>
      <c r="AD50" s="22"/>
      <c r="AE50" s="22"/>
      <c r="AF50" s="22"/>
      <c r="AG50" s="22"/>
      <c r="AH50" s="22"/>
      <c r="AI50" s="22"/>
      <c r="AJ50" s="22"/>
    </row>
    <row r="51" spans="1:36" ht="14.25" hidden="1" customHeight="1" x14ac:dyDescent="0.3">
      <c r="A51" s="22"/>
      <c r="P51" s="22"/>
      <c r="Q51" s="22"/>
      <c r="R51" s="22"/>
      <c r="S51" s="22"/>
      <c r="T51" s="22"/>
      <c r="U51" s="22"/>
      <c r="V51" s="22"/>
      <c r="W51" s="22"/>
      <c r="X51" s="22"/>
      <c r="Y51" s="22"/>
      <c r="Z51" s="22"/>
      <c r="AA51" s="22"/>
      <c r="AB51" s="22"/>
      <c r="AC51" s="22"/>
      <c r="AD51" s="22"/>
      <c r="AE51" s="22"/>
      <c r="AF51" s="22"/>
      <c r="AG51" s="22"/>
      <c r="AH51" s="22"/>
      <c r="AI51" s="22"/>
      <c r="AJ51" s="22"/>
    </row>
    <row r="52" spans="1:36" ht="14.25" hidden="1" customHeight="1" x14ac:dyDescent="0.3">
      <c r="A52" s="22"/>
      <c r="P52" s="22"/>
      <c r="Q52" s="22"/>
      <c r="R52" s="22"/>
      <c r="S52" s="22"/>
      <c r="T52" s="22"/>
      <c r="U52" s="22"/>
      <c r="V52" s="22"/>
      <c r="W52" s="22"/>
      <c r="X52" s="22"/>
      <c r="Y52" s="22"/>
      <c r="Z52" s="22"/>
      <c r="AA52" s="22"/>
      <c r="AB52" s="22"/>
      <c r="AC52" s="22"/>
      <c r="AD52" s="22"/>
      <c r="AE52" s="22"/>
      <c r="AF52" s="22"/>
      <c r="AG52" s="22"/>
      <c r="AH52" s="22"/>
      <c r="AI52" s="22"/>
      <c r="AJ52" s="22"/>
    </row>
    <row r="53" spans="1:36" ht="14.25" hidden="1" customHeight="1" x14ac:dyDescent="0.3">
      <c r="A53" s="22"/>
      <c r="P53" s="22"/>
      <c r="Q53" s="22"/>
      <c r="R53" s="22"/>
      <c r="S53" s="22"/>
      <c r="T53" s="22"/>
      <c r="U53" s="22"/>
      <c r="V53" s="22"/>
      <c r="W53" s="22"/>
      <c r="X53" s="22"/>
      <c r="Y53" s="22"/>
      <c r="Z53" s="22"/>
      <c r="AA53" s="22"/>
      <c r="AB53" s="22"/>
      <c r="AC53" s="22"/>
      <c r="AD53" s="22"/>
      <c r="AE53" s="22"/>
      <c r="AF53" s="22"/>
      <c r="AG53" s="22"/>
      <c r="AH53" s="22"/>
      <c r="AI53" s="22"/>
      <c r="AJ53" s="22"/>
    </row>
    <row r="54" spans="1:36" ht="14.25" hidden="1" customHeight="1" x14ac:dyDescent="0.3">
      <c r="A54" s="22"/>
      <c r="P54" s="22"/>
      <c r="Q54" s="22"/>
      <c r="R54" s="22"/>
      <c r="S54" s="22"/>
      <c r="T54" s="22"/>
      <c r="U54" s="22"/>
      <c r="V54" s="22"/>
      <c r="W54" s="22"/>
      <c r="X54" s="22"/>
      <c r="Y54" s="22"/>
      <c r="Z54" s="22"/>
      <c r="AA54" s="22"/>
      <c r="AB54" s="22"/>
      <c r="AC54" s="22"/>
      <c r="AD54" s="22"/>
      <c r="AE54" s="22"/>
      <c r="AF54" s="22"/>
      <c r="AG54" s="22"/>
      <c r="AH54" s="22"/>
      <c r="AI54" s="22"/>
      <c r="AJ54" s="22"/>
    </row>
    <row r="55" spans="1:36" ht="14.25" hidden="1" customHeight="1" x14ac:dyDescent="0.3">
      <c r="A55" s="22"/>
      <c r="P55" s="22"/>
      <c r="Q55" s="22"/>
      <c r="R55" s="22"/>
      <c r="S55" s="22"/>
      <c r="T55" s="22"/>
      <c r="U55" s="22"/>
      <c r="V55" s="22"/>
      <c r="W55" s="22"/>
      <c r="X55" s="22"/>
      <c r="Y55" s="22"/>
      <c r="Z55" s="22"/>
      <c r="AA55" s="22"/>
      <c r="AB55" s="22"/>
      <c r="AC55" s="22"/>
      <c r="AD55" s="22"/>
      <c r="AE55" s="22"/>
      <c r="AF55" s="22"/>
      <c r="AG55" s="22"/>
      <c r="AH55" s="22"/>
      <c r="AI55" s="22"/>
      <c r="AJ55" s="22"/>
    </row>
    <row r="56" spans="1:36" ht="14.25" hidden="1" customHeight="1" x14ac:dyDescent="0.3">
      <c r="A56" s="22"/>
      <c r="P56" s="22"/>
      <c r="Q56" s="22"/>
      <c r="R56" s="22"/>
      <c r="S56" s="22"/>
      <c r="T56" s="22"/>
      <c r="U56" s="22"/>
      <c r="V56" s="22"/>
      <c r="W56" s="22"/>
      <c r="X56" s="22"/>
      <c r="Y56" s="22"/>
      <c r="Z56" s="22"/>
      <c r="AA56" s="22"/>
      <c r="AB56" s="22"/>
      <c r="AC56" s="22"/>
      <c r="AD56" s="22"/>
      <c r="AE56" s="22"/>
      <c r="AF56" s="22"/>
      <c r="AG56" s="22"/>
      <c r="AH56" s="22"/>
      <c r="AI56" s="22"/>
      <c r="AJ56" s="22"/>
    </row>
    <row r="57" spans="1:36" ht="14.25" hidden="1" customHeight="1" x14ac:dyDescent="0.3">
      <c r="A57" s="22"/>
      <c r="P57" s="22"/>
      <c r="Q57" s="22"/>
      <c r="R57" s="22"/>
      <c r="S57" s="22"/>
      <c r="T57" s="22"/>
      <c r="U57" s="22"/>
      <c r="V57" s="22"/>
      <c r="W57" s="22"/>
      <c r="X57" s="22"/>
      <c r="Y57" s="22"/>
      <c r="Z57" s="22"/>
      <c r="AA57" s="22"/>
      <c r="AB57" s="22"/>
      <c r="AC57" s="22"/>
      <c r="AD57" s="22"/>
      <c r="AE57" s="22"/>
      <c r="AF57" s="22"/>
      <c r="AG57" s="22"/>
      <c r="AH57" s="22"/>
      <c r="AI57" s="22"/>
      <c r="AJ57" s="22"/>
    </row>
    <row r="58" spans="1:36" ht="14.25" hidden="1" customHeight="1" x14ac:dyDescent="0.3">
      <c r="A58" s="22"/>
      <c r="P58" s="22"/>
      <c r="Q58" s="22"/>
      <c r="R58" s="22"/>
      <c r="S58" s="22"/>
      <c r="T58" s="22"/>
      <c r="U58" s="22"/>
      <c r="V58" s="22"/>
      <c r="W58" s="22"/>
      <c r="X58" s="22"/>
      <c r="Y58" s="22"/>
      <c r="Z58" s="22"/>
      <c r="AA58" s="22"/>
      <c r="AB58" s="22"/>
      <c r="AC58" s="22"/>
      <c r="AD58" s="22"/>
      <c r="AE58" s="22"/>
      <c r="AF58" s="22"/>
      <c r="AG58" s="22"/>
      <c r="AH58" s="22"/>
      <c r="AI58" s="22"/>
      <c r="AJ58" s="22"/>
    </row>
    <row r="59" spans="1:36" ht="14.25" hidden="1" customHeight="1" x14ac:dyDescent="0.3">
      <c r="A59" s="22"/>
      <c r="P59" s="22"/>
      <c r="Q59" s="22"/>
      <c r="R59" s="22"/>
      <c r="S59" s="22"/>
      <c r="T59" s="22"/>
      <c r="U59" s="22"/>
      <c r="V59" s="22"/>
      <c r="W59" s="22"/>
      <c r="X59" s="22"/>
      <c r="Y59" s="22"/>
      <c r="Z59" s="22"/>
      <c r="AA59" s="22"/>
      <c r="AB59" s="22"/>
      <c r="AC59" s="22"/>
      <c r="AD59" s="22"/>
      <c r="AE59" s="22"/>
      <c r="AF59" s="22"/>
      <c r="AG59" s="22"/>
      <c r="AH59" s="22"/>
      <c r="AI59" s="22"/>
      <c r="AJ59" s="22"/>
    </row>
    <row r="60" spans="1:36" ht="14.25" hidden="1" customHeight="1" x14ac:dyDescent="0.3">
      <c r="A60" s="22"/>
      <c r="P60" s="22"/>
      <c r="Q60" s="22"/>
      <c r="R60" s="22"/>
      <c r="S60" s="22"/>
      <c r="T60" s="22"/>
      <c r="U60" s="22"/>
      <c r="V60" s="22"/>
      <c r="W60" s="22"/>
      <c r="X60" s="22"/>
      <c r="Y60" s="22"/>
      <c r="Z60" s="22"/>
      <c r="AA60" s="22"/>
      <c r="AB60" s="22"/>
      <c r="AC60" s="22"/>
      <c r="AD60" s="22"/>
      <c r="AE60" s="22"/>
      <c r="AF60" s="22"/>
      <c r="AG60" s="22"/>
      <c r="AH60" s="22"/>
      <c r="AI60" s="22"/>
      <c r="AJ60" s="22"/>
    </row>
    <row r="61" spans="1:36" ht="14.25" hidden="1" customHeight="1" x14ac:dyDescent="0.3">
      <c r="A61" s="22"/>
      <c r="P61" s="22"/>
      <c r="Q61" s="22"/>
      <c r="R61" s="22"/>
      <c r="S61" s="22"/>
      <c r="T61" s="22"/>
      <c r="U61" s="22"/>
      <c r="V61" s="22"/>
      <c r="W61" s="22"/>
      <c r="X61" s="22"/>
      <c r="Y61" s="22"/>
      <c r="Z61" s="22"/>
      <c r="AA61" s="22"/>
      <c r="AB61" s="22"/>
      <c r="AC61" s="22"/>
      <c r="AD61" s="22"/>
      <c r="AE61" s="22"/>
      <c r="AF61" s="22"/>
      <c r="AG61" s="22"/>
      <c r="AH61" s="22"/>
      <c r="AI61" s="22"/>
      <c r="AJ61" s="22"/>
    </row>
    <row r="62" spans="1:36" ht="14.25" hidden="1" customHeight="1" x14ac:dyDescent="0.3">
      <c r="A62" s="22"/>
      <c r="P62" s="22"/>
      <c r="Q62" s="22"/>
      <c r="R62" s="22"/>
      <c r="S62" s="22"/>
      <c r="T62" s="22"/>
      <c r="U62" s="22"/>
      <c r="V62" s="22"/>
      <c r="W62" s="22"/>
      <c r="X62" s="22"/>
      <c r="Y62" s="22"/>
      <c r="Z62" s="22"/>
      <c r="AA62" s="22"/>
      <c r="AB62" s="22"/>
      <c r="AC62" s="22"/>
      <c r="AD62" s="22"/>
      <c r="AE62" s="22"/>
      <c r="AF62" s="22"/>
      <c r="AG62" s="22"/>
      <c r="AH62" s="22"/>
      <c r="AI62" s="22"/>
      <c r="AJ62" s="22"/>
    </row>
    <row r="63" spans="1:36" ht="14.25" hidden="1" customHeight="1" x14ac:dyDescent="0.3">
      <c r="A63" s="22"/>
      <c r="P63" s="22"/>
      <c r="Q63" s="22"/>
      <c r="R63" s="22"/>
      <c r="S63" s="22"/>
      <c r="T63" s="22"/>
      <c r="U63" s="22"/>
      <c r="V63" s="22"/>
      <c r="W63" s="22"/>
      <c r="X63" s="22"/>
      <c r="Y63" s="22"/>
      <c r="Z63" s="22"/>
      <c r="AA63" s="22"/>
      <c r="AB63" s="22"/>
      <c r="AC63" s="22"/>
      <c r="AD63" s="22"/>
      <c r="AE63" s="22"/>
      <c r="AF63" s="22"/>
      <c r="AG63" s="22"/>
      <c r="AH63" s="22"/>
      <c r="AI63" s="22"/>
      <c r="AJ63" s="22"/>
    </row>
    <row r="64" spans="1:36" ht="14.25" hidden="1" customHeight="1" x14ac:dyDescent="0.3">
      <c r="A64" s="22"/>
      <c r="P64" s="22"/>
      <c r="Q64" s="22"/>
      <c r="R64" s="22"/>
      <c r="S64" s="22"/>
      <c r="T64" s="22"/>
      <c r="U64" s="22"/>
      <c r="V64" s="22"/>
      <c r="W64" s="22"/>
      <c r="X64" s="22"/>
      <c r="Y64" s="22"/>
      <c r="Z64" s="22"/>
      <c r="AA64" s="22"/>
      <c r="AB64" s="22"/>
      <c r="AC64" s="22"/>
      <c r="AD64" s="22"/>
      <c r="AE64" s="22"/>
      <c r="AF64" s="22"/>
      <c r="AG64" s="22"/>
      <c r="AH64" s="22"/>
      <c r="AI64" s="22"/>
      <c r="AJ64" s="22"/>
    </row>
    <row r="65" spans="1:36" ht="14.25" hidden="1" customHeight="1" x14ac:dyDescent="0.3">
      <c r="A65" s="22"/>
      <c r="P65" s="22"/>
      <c r="Q65" s="22"/>
      <c r="R65" s="22"/>
      <c r="S65" s="22"/>
      <c r="T65" s="22"/>
      <c r="U65" s="22"/>
      <c r="V65" s="22"/>
      <c r="W65" s="22"/>
      <c r="X65" s="22"/>
      <c r="Y65" s="22"/>
      <c r="Z65" s="22"/>
      <c r="AA65" s="22"/>
      <c r="AB65" s="22"/>
      <c r="AC65" s="22"/>
      <c r="AD65" s="22"/>
      <c r="AE65" s="22"/>
      <c r="AF65" s="22"/>
      <c r="AG65" s="22"/>
      <c r="AH65" s="22"/>
      <c r="AI65" s="22"/>
      <c r="AJ65" s="22"/>
    </row>
    <row r="66" spans="1:36" ht="14.25" hidden="1"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row>
    <row r="67" spans="1:36" ht="14.25" hidden="1"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row>
    <row r="68" spans="1:36" ht="14.25" hidden="1"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row>
    <row r="69" spans="1:36" ht="14.25" hidden="1"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row>
    <row r="70" spans="1:36" ht="14.25" hidden="1"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row>
    <row r="71" spans="1:36" ht="14.25" hidden="1"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row>
    <row r="72" spans="1:36" ht="14.25" hidden="1"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row>
    <row r="73" spans="1:36" ht="14.25" hidden="1"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row>
    <row r="74" spans="1:36" ht="14.25" hidden="1"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row>
    <row r="75" spans="1:36" ht="14.25" hidden="1"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row>
    <row r="76" spans="1:36" ht="14.25" hidden="1"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row>
    <row r="77" spans="1:36" ht="14.25" hidden="1"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row>
    <row r="78" spans="1:36" ht="14.25" hidden="1"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row>
    <row r="79" spans="1:36" ht="14.25" hidden="1"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row>
    <row r="80" spans="1:36" ht="14.25" hidden="1"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row>
    <row r="81" spans="1:36" ht="14.25" hidden="1"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row>
    <row r="82" spans="1:36" ht="14.25" hidden="1"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row>
    <row r="83" spans="1:36" ht="14.25" hidden="1"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row>
    <row r="84" spans="1:36" ht="14.25" hidden="1"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row>
    <row r="85" spans="1:36" ht="14.25" hidden="1"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row>
    <row r="86" spans="1:36" ht="14.25" hidden="1"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row>
    <row r="87" spans="1:36" ht="14.25" hidden="1"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row>
    <row r="88" spans="1:36" ht="14.25" hidden="1"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row>
    <row r="89" spans="1:36" ht="14.25" hidden="1"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row>
    <row r="90" spans="1:36" ht="14.25" hidden="1"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row>
    <row r="91" spans="1:36" ht="14.25" hidden="1"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row>
    <row r="92" spans="1:36" ht="14.25" hidden="1"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row>
    <row r="93" spans="1:36" ht="14.25" hidden="1"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row>
    <row r="94" spans="1:36" ht="14.25" hidden="1"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row>
    <row r="95" spans="1:36" ht="14.25" hidden="1"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row>
    <row r="96" spans="1:36" ht="14.25" hidden="1"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row>
    <row r="97" spans="1:36" ht="14.25" hidden="1"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row>
    <row r="98" spans="1:36" ht="14.25" hidden="1"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row>
    <row r="99" spans="1:36" ht="14.25" hidden="1"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row>
    <row r="100" spans="1:36" ht="14.25" hidden="1"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row>
    <row r="101" spans="1:36" ht="14.25" hidden="1"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row>
    <row r="102" spans="1:36" ht="14.25" hidden="1"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row>
    <row r="103" spans="1:36" ht="14.25" hidden="1"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row>
    <row r="104" spans="1:36" ht="14.25" hidden="1"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row>
    <row r="105" spans="1:36" ht="14.25" hidden="1"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row>
    <row r="106" spans="1:36" ht="14.25" hidden="1"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row>
    <row r="107" spans="1:36" ht="14.25" hidden="1"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row>
    <row r="108" spans="1:36" ht="14.25" hidden="1"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row>
    <row r="109" spans="1:36" ht="14.25" hidden="1"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row>
    <row r="110" spans="1:36" ht="14.25" hidden="1"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row>
    <row r="111" spans="1:36" ht="14.25" hidden="1"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row>
    <row r="112" spans="1:36" ht="14.25" hidden="1"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row>
    <row r="113" spans="1:36" ht="14.25" hidden="1"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row>
    <row r="114" spans="1:36" ht="14.25" hidden="1"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row>
    <row r="115" spans="1:36" ht="14.25" hidden="1"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row>
    <row r="116" spans="1:36" ht="14.25" hidden="1"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row>
    <row r="117" spans="1:36" ht="14.25" hidden="1"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row>
    <row r="118" spans="1:36" ht="14.25" hidden="1"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row>
    <row r="119" spans="1:36" ht="14.25" hidden="1"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row>
    <row r="120" spans="1:36" ht="14.25" hidden="1"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row>
    <row r="121" spans="1:36" ht="14.25" hidden="1"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row>
    <row r="122" spans="1:36" ht="14.25" hidden="1"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row>
    <row r="123" spans="1:36" ht="14.25" hidden="1"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row>
    <row r="124" spans="1:36" ht="14.25" hidden="1"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row>
    <row r="125" spans="1:36" ht="14.25" hidden="1"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row>
    <row r="126" spans="1:36" ht="14.25" hidden="1"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row>
    <row r="127" spans="1:36" ht="14.25" hidden="1"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row>
    <row r="128" spans="1:36" ht="14.25" hidden="1"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row>
    <row r="129" spans="1:36" ht="14.25" hidden="1"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row>
    <row r="130" spans="1:36" ht="14.25" hidden="1"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row>
    <row r="131" spans="1:36" ht="14.25" hidden="1"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row>
    <row r="132" spans="1:36" ht="14.25" hidden="1"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row>
    <row r="133" spans="1:36" ht="14.25" hidden="1"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row>
    <row r="134" spans="1:36" ht="14.25" hidden="1"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row>
    <row r="135" spans="1:36" ht="14.25" hidden="1"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row>
    <row r="136" spans="1:36" ht="14.25" hidden="1"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row>
    <row r="137" spans="1:36" ht="14.25" hidden="1"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row>
    <row r="138" spans="1:36" ht="14.25" hidden="1"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row>
    <row r="139" spans="1:36" ht="14.25" hidden="1"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row>
    <row r="140" spans="1:36" ht="14.25" hidden="1"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row>
    <row r="141" spans="1:36" ht="14.25" hidden="1"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row>
    <row r="142" spans="1:36" ht="14.25" hidden="1"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row>
    <row r="143" spans="1:36" ht="14.25" hidden="1"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row>
    <row r="144" spans="1:36" ht="14.25" hidden="1"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row>
    <row r="145" spans="1:36" ht="14.25" hidden="1"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row>
    <row r="146" spans="1:36" ht="14.25" hidden="1"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row>
    <row r="147" spans="1:36" ht="14.25" hidden="1"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row>
    <row r="148" spans="1:36" ht="14.25" hidden="1"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row>
    <row r="149" spans="1:36" ht="14.25" hidden="1"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row>
    <row r="150" spans="1:36" ht="14.25" hidden="1"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row>
    <row r="151" spans="1:36" ht="14.25" hidden="1"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row>
    <row r="152" spans="1:36" ht="14.25" hidden="1"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row>
    <row r="153" spans="1:36" ht="14.25" hidden="1"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row>
    <row r="154" spans="1:36" ht="14.25" hidden="1"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row>
    <row r="155" spans="1:36" ht="14.25" hidden="1"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row>
    <row r="156" spans="1:36" ht="14.25" hidden="1"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row>
    <row r="157" spans="1:36" ht="14.25" hidden="1"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row>
    <row r="158" spans="1:36" ht="14.25" hidden="1"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row>
    <row r="159" spans="1:36" ht="14.25" hidden="1"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row>
    <row r="160" spans="1:36" ht="14.25" hidden="1"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row>
  </sheetData>
  <mergeCells count="36">
    <mergeCell ref="B21:H21"/>
    <mergeCell ref="J21:K21"/>
    <mergeCell ref="F18:H18"/>
    <mergeCell ref="I18:I20"/>
    <mergeCell ref="J18:K18"/>
    <mergeCell ref="F19:H19"/>
    <mergeCell ref="J19:K19"/>
    <mergeCell ref="F20:H20"/>
    <mergeCell ref="J20:K20"/>
    <mergeCell ref="B13:K14"/>
    <mergeCell ref="L13:M14"/>
    <mergeCell ref="N13:O13"/>
    <mergeCell ref="N14:O14"/>
    <mergeCell ref="C17:E17"/>
    <mergeCell ref="F17:H17"/>
    <mergeCell ref="J17:K17"/>
    <mergeCell ref="B6:E6"/>
    <mergeCell ref="F6:H6"/>
    <mergeCell ref="K6:K10"/>
    <mergeCell ref="M6:N6"/>
    <mergeCell ref="B7:E7"/>
    <mergeCell ref="F7:H7"/>
    <mergeCell ref="M7:N7"/>
    <mergeCell ref="B8:E8"/>
    <mergeCell ref="F8:H8"/>
    <mergeCell ref="M8:N8"/>
    <mergeCell ref="B9:E9"/>
    <mergeCell ref="M9:N9"/>
    <mergeCell ref="B10:E10"/>
    <mergeCell ref="M10:N10"/>
    <mergeCell ref="B2:P2"/>
    <mergeCell ref="B3:P3"/>
    <mergeCell ref="B4:H4"/>
    <mergeCell ref="B5:H5"/>
    <mergeCell ref="I5:J5"/>
    <mergeCell ref="M5:N5"/>
  </mergeCells>
  <conditionalFormatting sqref="A18:B18 A19 A20:D20">
    <cfRule type="cellIs" dxfId="24" priority="7" operator="equal">
      <formula>"Borrar"</formula>
    </cfRule>
  </conditionalFormatting>
  <conditionalFormatting sqref="B19:B20">
    <cfRule type="cellIs" dxfId="23" priority="2" operator="equal">
      <formula>"Borrar"</formula>
    </cfRule>
  </conditionalFormatting>
  <conditionalFormatting sqref="C18:D20">
    <cfRule type="cellIs" dxfId="22" priority="4" operator="equal">
      <formula>"Borrar"</formula>
    </cfRule>
  </conditionalFormatting>
  <conditionalFormatting sqref="E19:E20">
    <cfRule type="cellIs" dxfId="21" priority="3" operator="equal">
      <formula>"Borrar"</formula>
    </cfRule>
  </conditionalFormatting>
  <conditionalFormatting sqref="F18:F20">
    <cfRule type="cellIs" dxfId="20" priority="5" operator="equal">
      <formula>"Pago mayor"</formula>
    </cfRule>
  </conditionalFormatting>
  <conditionalFormatting sqref="F19:F20">
    <cfRule type="cellIs" dxfId="19" priority="6" operator="equal">
      <formula>"Cancelado"</formula>
    </cfRule>
  </conditionalFormatting>
  <dataValidations count="1">
    <dataValidation type="list" allowBlank="1" showInputMessage="1" showErrorMessage="1" sqref="P7" xr:uid="{00000000-0002-0000-0000-000000000000}">
      <formula1>Modalidad</formula1>
      <formula2>0</formula2>
    </dataValidation>
  </dataValidations>
  <printOptions horizontalCentered="1"/>
  <pageMargins left="0.31527777777777799" right="0.31527777777777799" top="0.86666666666666703" bottom="0.55138888888888904" header="0.31527777777777799" footer="0.31527777777777799"/>
  <pageSetup scale="63" orientation="portrait" horizontalDpi="300" verticalDpi="300"/>
  <headerFooter>
    <oddHeader>&amp;R_x005F_x000a__x005F_x000a_&amp;D</oddHeader>
    <oddFooter>&amp;R&amp;T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Z166"/>
  <sheetViews>
    <sheetView showGridLines="0" tabSelected="1" zoomScale="87" zoomScaleNormal="87" workbookViewId="0">
      <selection activeCell="C10" sqref="C10"/>
    </sheetView>
  </sheetViews>
  <sheetFormatPr baseColWidth="10" defaultColWidth="9.109375" defaultRowHeight="14.4" x14ac:dyDescent="0.3"/>
  <cols>
    <col min="1" max="1" width="2" customWidth="1"/>
    <col min="2" max="2" width="4" customWidth="1"/>
    <col min="3" max="3" width="54" customWidth="1"/>
    <col min="4" max="4" width="36.88671875" customWidth="1"/>
    <col min="5" max="5" width="10" customWidth="1"/>
    <col min="6" max="6" width="49.5546875" customWidth="1"/>
    <col min="7" max="7" width="16" customWidth="1"/>
    <col min="8" max="8" width="8" customWidth="1"/>
  </cols>
  <sheetData>
    <row r="1" spans="1:26" ht="14.2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8" customHeight="1" x14ac:dyDescent="0.35">
      <c r="A2" s="22"/>
      <c r="B2" s="258" t="s">
        <v>41</v>
      </c>
      <c r="C2" s="258"/>
      <c r="D2" s="258"/>
      <c r="E2" s="258"/>
      <c r="F2" s="258"/>
      <c r="G2" s="22"/>
      <c r="H2" s="22"/>
      <c r="I2" s="22"/>
      <c r="J2" s="22"/>
      <c r="K2" s="22"/>
      <c r="L2" s="22"/>
      <c r="M2" s="22"/>
      <c r="N2" s="22"/>
      <c r="O2" s="22"/>
      <c r="P2" s="22"/>
      <c r="Q2" s="22"/>
      <c r="R2" s="22"/>
      <c r="S2" s="22"/>
      <c r="T2" s="22"/>
      <c r="U2" s="22"/>
      <c r="V2" s="22"/>
      <c r="W2" s="22"/>
      <c r="X2" s="22"/>
      <c r="Y2" s="22"/>
      <c r="Z2" s="22"/>
    </row>
    <row r="3" spans="1:26" ht="14.25" customHeight="1" x14ac:dyDescent="0.3">
      <c r="A3" s="22"/>
      <c r="B3" s="259" t="s">
        <v>42</v>
      </c>
      <c r="C3" s="259"/>
      <c r="D3" s="259"/>
      <c r="E3" s="259"/>
      <c r="F3" s="259"/>
      <c r="G3" s="22"/>
      <c r="H3" s="22"/>
      <c r="I3" s="22"/>
      <c r="J3" s="22"/>
      <c r="K3" s="22"/>
      <c r="L3" s="22"/>
      <c r="M3" s="22"/>
      <c r="N3" s="22"/>
      <c r="O3" s="22"/>
      <c r="P3" s="22"/>
      <c r="Q3" s="22"/>
      <c r="R3" s="22"/>
      <c r="S3" s="22"/>
      <c r="T3" s="22"/>
      <c r="U3" s="22"/>
      <c r="V3" s="22"/>
      <c r="W3" s="22"/>
      <c r="X3" s="22"/>
      <c r="Y3" s="22"/>
      <c r="Z3" s="22"/>
    </row>
    <row r="4" spans="1:26" ht="15.75" customHeight="1" x14ac:dyDescent="0.3">
      <c r="A4" s="22"/>
      <c r="B4" s="22"/>
      <c r="C4" s="22"/>
      <c r="D4" s="22"/>
      <c r="E4" s="22"/>
      <c r="J4" s="22"/>
      <c r="K4" s="22"/>
      <c r="L4" s="22"/>
      <c r="M4" s="22"/>
      <c r="N4" s="22"/>
      <c r="O4" s="22"/>
      <c r="P4" s="22"/>
      <c r="Q4" s="22"/>
      <c r="R4" s="22"/>
      <c r="S4" s="22"/>
      <c r="T4" s="22"/>
      <c r="U4" s="22"/>
      <c r="V4" s="22"/>
      <c r="W4" s="22"/>
      <c r="X4" s="22"/>
      <c r="Y4" s="22"/>
      <c r="Z4" s="22"/>
    </row>
    <row r="5" spans="1:26" ht="14.25" customHeight="1" x14ac:dyDescent="0.3">
      <c r="A5" s="22"/>
      <c r="B5" s="260" t="s">
        <v>43</v>
      </c>
      <c r="C5" s="260"/>
      <c r="D5" s="260"/>
      <c r="E5" s="260"/>
      <c r="F5" s="260"/>
      <c r="G5" s="22"/>
      <c r="H5" s="22"/>
      <c r="I5" s="22"/>
      <c r="J5" s="22"/>
      <c r="K5" s="22"/>
      <c r="L5" s="22"/>
      <c r="M5" s="22"/>
      <c r="N5" s="22"/>
      <c r="O5" s="22"/>
      <c r="P5" s="22"/>
      <c r="Q5" s="22"/>
      <c r="R5" s="22"/>
      <c r="S5" s="22"/>
      <c r="T5" s="22"/>
      <c r="U5" s="22"/>
      <c r="V5" s="22"/>
      <c r="W5" s="22"/>
      <c r="X5" s="22"/>
      <c r="Y5" s="22"/>
      <c r="Z5" s="22"/>
    </row>
    <row r="6" spans="1:26" ht="14.25" customHeight="1" x14ac:dyDescent="0.3">
      <c r="A6" s="22"/>
      <c r="B6" s="22"/>
      <c r="C6" s="74" t="s">
        <v>44</v>
      </c>
      <c r="D6" s="26" t="s">
        <v>45</v>
      </c>
      <c r="E6" s="22"/>
      <c r="F6" s="72" t="s">
        <v>46</v>
      </c>
      <c r="G6" s="22"/>
      <c r="H6" s="22"/>
      <c r="I6" s="22"/>
      <c r="J6" s="22"/>
      <c r="K6" s="22"/>
      <c r="L6" s="22"/>
      <c r="M6" s="22"/>
      <c r="N6" s="22"/>
      <c r="O6" s="22"/>
      <c r="P6" s="22"/>
      <c r="Q6" s="22"/>
      <c r="R6" s="22"/>
      <c r="S6" s="22"/>
      <c r="T6" s="22"/>
      <c r="U6" s="22"/>
      <c r="V6" s="22"/>
      <c r="W6" s="22"/>
      <c r="X6" s="22"/>
      <c r="Y6" s="22"/>
      <c r="Z6" s="22"/>
    </row>
    <row r="7" spans="1:26" ht="14.25" customHeight="1" x14ac:dyDescent="0.3">
      <c r="A7" s="22"/>
      <c r="B7" s="22"/>
      <c r="C7" s="74" t="s">
        <v>47</v>
      </c>
      <c r="D7" s="26" t="s">
        <v>799</v>
      </c>
      <c r="E7" s="22"/>
      <c r="F7" s="72" t="s">
        <v>48</v>
      </c>
      <c r="G7" s="22"/>
      <c r="H7" s="22"/>
      <c r="I7" s="22"/>
      <c r="J7" s="22"/>
      <c r="K7" s="22"/>
      <c r="L7" s="22"/>
      <c r="M7" s="22"/>
      <c r="N7" s="22"/>
      <c r="O7" s="22"/>
      <c r="P7" s="22"/>
      <c r="Q7" s="22"/>
      <c r="R7" s="22"/>
      <c r="S7" s="22"/>
      <c r="T7" s="22"/>
      <c r="U7" s="22"/>
      <c r="V7" s="22"/>
      <c r="W7" s="22"/>
      <c r="X7" s="22"/>
      <c r="Y7" s="22"/>
      <c r="Z7" s="22"/>
    </row>
    <row r="8" spans="1:26" ht="14.25" customHeight="1" x14ac:dyDescent="0.3">
      <c r="A8" s="22"/>
      <c r="B8" s="22"/>
      <c r="C8" s="74" t="s">
        <v>49</v>
      </c>
      <c r="D8" s="75">
        <v>0</v>
      </c>
      <c r="E8" s="22"/>
      <c r="F8" s="72" t="s">
        <v>50</v>
      </c>
      <c r="G8" s="22"/>
      <c r="H8" s="22"/>
      <c r="I8" s="22"/>
      <c r="J8" s="22"/>
      <c r="K8" s="22"/>
      <c r="L8" s="22"/>
      <c r="M8" s="22"/>
      <c r="N8" s="22"/>
      <c r="O8" s="22"/>
      <c r="P8" s="22"/>
      <c r="Q8" s="22"/>
      <c r="R8" s="22"/>
      <c r="S8" s="22"/>
      <c r="T8" s="22"/>
      <c r="U8" s="22"/>
      <c r="V8" s="22"/>
      <c r="W8" s="22"/>
      <c r="X8" s="22"/>
      <c r="Y8" s="22"/>
      <c r="Z8" s="22"/>
    </row>
    <row r="9" spans="1:26" ht="14.25" customHeight="1" x14ac:dyDescent="0.3">
      <c r="A9" s="22"/>
      <c r="B9" s="22"/>
      <c r="C9" s="74" t="s">
        <v>51</v>
      </c>
      <c r="D9" s="75">
        <v>0</v>
      </c>
      <c r="E9" s="22"/>
      <c r="F9" s="72" t="s">
        <v>52</v>
      </c>
      <c r="G9" s="22"/>
      <c r="H9" s="22"/>
      <c r="I9" s="22"/>
      <c r="J9" s="22"/>
      <c r="K9" s="22"/>
      <c r="L9" s="22"/>
      <c r="M9" s="22"/>
      <c r="N9" s="22"/>
      <c r="O9" s="22"/>
      <c r="P9" s="22"/>
      <c r="Q9" s="22"/>
      <c r="R9" s="22"/>
      <c r="S9" s="22"/>
      <c r="T9" s="22"/>
      <c r="U9" s="22"/>
      <c r="V9" s="22"/>
      <c r="W9" s="22"/>
      <c r="X9" s="22"/>
      <c r="Y9" s="22"/>
      <c r="Z9" s="22"/>
    </row>
    <row r="10" spans="1:26" ht="14.25" customHeight="1" x14ac:dyDescent="0.3">
      <c r="A10" s="22"/>
      <c r="B10" s="22"/>
      <c r="C10" s="74" t="s">
        <v>53</v>
      </c>
      <c r="D10" s="75">
        <v>0</v>
      </c>
      <c r="E10" s="22"/>
      <c r="F10" s="72" t="s">
        <v>54</v>
      </c>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2"/>
      <c r="C11" s="74" t="s">
        <v>55</v>
      </c>
      <c r="D11" s="26" t="s">
        <v>801</v>
      </c>
      <c r="E11" s="22"/>
      <c r="F11" s="72" t="s">
        <v>56</v>
      </c>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
      <c r="C12" s="74" t="s">
        <v>57</v>
      </c>
      <c r="D12" s="76" t="str">
        <f>IF(H19="","(complete vigentes/cerrados)",IF(H19="SI","NINGUNA -&gt; NEGAR",IF(H20="SI","SOLO TELCO -&gt; Ruta Nuevo ($200K max)","Experiencia valida (vigente o cerrada)")))</f>
        <v>NINGUNA -&gt; NEGAR</v>
      </c>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22"/>
      <c r="C13" s="74" t="s">
        <v>58</v>
      </c>
      <c r="D13" s="77">
        <v>0</v>
      </c>
      <c r="E13" s="22"/>
      <c r="F13" s="72" t="s">
        <v>59</v>
      </c>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22"/>
      <c r="B14" s="73"/>
      <c r="C14" s="74" t="s">
        <v>60</v>
      </c>
      <c r="D14" s="26" t="s">
        <v>802</v>
      </c>
      <c r="F14" s="72" t="s">
        <v>61</v>
      </c>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22"/>
      <c r="C15" s="74" t="s">
        <v>62</v>
      </c>
      <c r="D15" s="75">
        <v>0</v>
      </c>
      <c r="E15" s="22"/>
      <c r="F15" s="72" t="s">
        <v>63</v>
      </c>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2"/>
      <c r="C16" s="74" t="s">
        <v>64</v>
      </c>
      <c r="D16" s="26" t="s">
        <v>226</v>
      </c>
      <c r="E16" s="22"/>
      <c r="F16" s="72" t="s">
        <v>65</v>
      </c>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2"/>
      <c r="C17" s="74" t="s">
        <v>66</v>
      </c>
      <c r="D17" s="75">
        <v>0</v>
      </c>
      <c r="E17" s="22"/>
      <c r="F17" s="72" t="s">
        <v>67</v>
      </c>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2"/>
      <c r="C18" s="74" t="s">
        <v>68</v>
      </c>
      <c r="D18" s="26" t="s">
        <v>800</v>
      </c>
      <c r="E18" s="22"/>
      <c r="F18" s="72" t="s">
        <v>69</v>
      </c>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22"/>
      <c r="B19" s="22"/>
      <c r="C19" s="74" t="s">
        <v>70</v>
      </c>
      <c r="D19" s="261" t="str">
        <f>IF(OR(H19="SI",AND(D7&lt;&gt;"",D7&lt;&gt;"Vigente"),AND(D8&lt;&gt;"",N(D8)&gt;=5),H21="SI",H22="SI"),"NEGAR DE INMEDIATO · NO diligencie el resto",IF(OR(D7="",D8="",D9="",D10="",D13="",D14="",D15="",D16="",D17=""),"(pendiente: complete todos los campos del pre-filtro)","CONTINUE · diligencie los Pasos 2 a 6"))</f>
        <v>NEGAR DE INMEDIATO · NO diligencie el resto</v>
      </c>
      <c r="E19" s="261"/>
      <c r="F19" s="261"/>
      <c r="G19" s="76" t="s">
        <v>71</v>
      </c>
      <c r="H19" s="76" t="str">
        <f>IF(OR(D9="",D10=""),"",IF(OR(N(D9)+N(D10)=0,D11="Sin experiencia"),"SI","NO"))</f>
        <v>SI</v>
      </c>
      <c r="I19" s="22"/>
      <c r="J19" s="22"/>
      <c r="K19" s="22"/>
      <c r="L19" s="22"/>
      <c r="M19" s="22"/>
      <c r="N19" s="22"/>
      <c r="O19" s="22"/>
      <c r="P19" s="22"/>
      <c r="Q19" s="22"/>
      <c r="R19" s="22"/>
      <c r="S19" s="22"/>
      <c r="T19" s="22"/>
      <c r="U19" s="22"/>
      <c r="V19" s="22"/>
      <c r="W19" s="22"/>
      <c r="X19" s="22"/>
      <c r="Y19" s="22"/>
      <c r="Z19" s="22"/>
    </row>
    <row r="20" spans="1:26" ht="14.25" customHeight="1" x14ac:dyDescent="0.3">
      <c r="A20" s="22"/>
      <c r="B20" s="22"/>
      <c r="C20" s="74" t="s">
        <v>72</v>
      </c>
      <c r="D20" s="261" t="str">
        <f>TRIM(IF(AND(D7&lt;&gt;"",D7&lt;&gt;"Vigente"),"· Documento no vigente. ","")&amp;IF(AND(D8&lt;&gt;"",N(D8)&gt;=5),"· Consulta tipo 5/6/7 no valida. ","")&amp;IF(H19="SI","· Sin NINGUNA experiencia crediticia (ni cerrada ni telco). ","")&amp;IF(H21="SI","· Castigada/dudoso vigente con saldo &gt; "&amp;TEXT(Reglas!$B$23,"$#,##0")&amp;". ","")&amp;IF(H22="SI","· Mora evidente superior (saldo &gt; "&amp;TEXT(Reglas!$B$23,"$#,##0")&amp;" o 2+ obligaciones con mora 60+). ","")&amp;IF(AND(D18="Rechazado",H19&lt;&gt;"SI",H21&lt;&gt;"SI",H22&lt;&gt;"SI"),"ALERTA: Preselecta dice Rechazado - verificar. ","")&amp;IF(D18="Estudio","Nota: Preselecta en Estudio (sin decision automatica). ","")&amp;IF(AND(OR(D16="SI",D14="C",D14="D"),H21="NO",H21&lt;&gt;""),"Nota: castigada/mora con saldo &lt;= "&amp;TEXT(Reglas!$B$23,"$#,##0")&amp;" y demas obligaciones bien pagas -&gt; continua. ","")&amp;IF(D16="Solo telco","Nota: castigo SOLO telco (tipico saldo de celular o suplantacion) -&gt; analizar aparte, no niega. ","")&amp;IF(AND(H22="NO",H22&lt;&gt;"",D17&lt;&gt;"",N(D17)&lt;=1,N(D13)&gt;0),"Nota: mora unica con demas obligaciones al dia -&gt; continua. ","")&amp;IF(AND(H22="NO",D6="Renovacion",N(D13)&gt;0,N(D13)&lt;=Reglas!$B$23),"Nota: renovacion con mora &lt;= "&amp;TEXT(Reglas!$B$23,"$#,##0")&amp;" -&gt; continua. ","")&amp;IF(H23="SI","-&gt; MONTO MAXIMO SUGERIDO: "&amp;TEXT(Reglas!$B$177,"$#,##0")&amp;". ",""))</f>
        <v>· Sin NINGUNA experiencia crediticia (ni cerrada ni telco). Nota: Preselecta en Estudio (sin decision automatica).</v>
      </c>
      <c r="E20" s="261"/>
      <c r="F20" s="261"/>
      <c r="G20" s="76" t="s">
        <v>73</v>
      </c>
      <c r="H20" s="76" t="str">
        <f>IF(H19="","",IF(AND(H19="NO",D11="SI"),"SI","NO"))</f>
        <v>NO</v>
      </c>
      <c r="I20" s="22"/>
      <c r="J20" s="22"/>
      <c r="K20" s="22"/>
      <c r="L20" s="22"/>
      <c r="M20" s="22"/>
      <c r="N20" s="22"/>
      <c r="O20" s="22"/>
      <c r="P20" s="22"/>
      <c r="Q20" s="22"/>
      <c r="R20" s="22"/>
      <c r="S20" s="22"/>
      <c r="T20" s="22"/>
      <c r="U20" s="22"/>
      <c r="V20" s="22"/>
      <c r="W20" s="22"/>
      <c r="X20" s="22"/>
      <c r="Y20" s="22"/>
      <c r="Z20" s="22"/>
    </row>
    <row r="21" spans="1:26" ht="14.25" customHeight="1" x14ac:dyDescent="0.3">
      <c r="A21" s="22"/>
      <c r="B21" s="22"/>
      <c r="C21" s="78"/>
      <c r="D21" s="22"/>
      <c r="E21" s="22"/>
      <c r="F21" s="79"/>
      <c r="G21" s="76" t="s">
        <v>74</v>
      </c>
      <c r="H21" s="76" t="str">
        <f>IF(AND(D16="",D14=""),"",IF(AND(OR(D16="SI",D14="C",D14="D"),N(D13)&gt;Reglas!$B$23),"SI","NO"))</f>
        <v>NO</v>
      </c>
      <c r="I21" s="22"/>
      <c r="J21" s="22"/>
      <c r="K21" s="22"/>
      <c r="L21" s="22"/>
      <c r="M21" s="22"/>
      <c r="N21" s="22"/>
      <c r="O21" s="22"/>
      <c r="P21" s="22"/>
      <c r="Q21" s="22"/>
      <c r="R21" s="22"/>
      <c r="S21" s="22"/>
      <c r="T21" s="22"/>
      <c r="U21" s="22"/>
      <c r="V21" s="22"/>
      <c r="W21" s="22"/>
      <c r="X21" s="22"/>
      <c r="Y21" s="22"/>
      <c r="Z21" s="22"/>
    </row>
    <row r="22" spans="1:26" ht="14.25" customHeight="1" x14ac:dyDescent="0.3">
      <c r="A22" s="22"/>
      <c r="B22" s="22"/>
      <c r="C22" s="74"/>
      <c r="D22" s="22"/>
      <c r="E22" s="22"/>
      <c r="F22" s="72"/>
      <c r="G22" s="76" t="s">
        <v>75</v>
      </c>
      <c r="H22" s="76" t="str">
        <f>IF(D13="","",IF(AND(OR(N(D13)&gt;Reglas!$B$23,N(D15)&gt;=2),NOT(OR(AND(D17&lt;&gt;"",N(D17)&lt;=1),AND(D6="Renovacion",N(D13)&lt;=Reglas!$B$23),AND(N(D13)&lt;=Reglas!$B$23,OR(D14="N",D14="1",D14="2",D14="Sin dato"))))),"SI","NO"))</f>
        <v>NO</v>
      </c>
      <c r="I22" s="22"/>
      <c r="J22" s="22"/>
      <c r="K22" s="22"/>
      <c r="L22" s="22"/>
      <c r="M22" s="22"/>
      <c r="N22" s="22"/>
      <c r="O22" s="22"/>
      <c r="P22" s="22"/>
      <c r="Q22" s="22"/>
      <c r="R22" s="22"/>
      <c r="S22" s="22"/>
      <c r="T22" s="22"/>
      <c r="U22" s="22"/>
      <c r="V22" s="22"/>
      <c r="W22" s="22"/>
      <c r="X22" s="22"/>
      <c r="Y22" s="22"/>
      <c r="Z22" s="22"/>
    </row>
    <row r="23" spans="1:26" ht="14.25" customHeight="1" x14ac:dyDescent="0.3">
      <c r="A23" s="22"/>
      <c r="B23" s="260" t="s">
        <v>76</v>
      </c>
      <c r="C23" s="260"/>
      <c r="D23" s="260"/>
      <c r="E23" s="260"/>
      <c r="F23" s="260"/>
      <c r="G23" s="76" t="s">
        <v>77</v>
      </c>
      <c r="H23" s="76" t="str">
        <f>IF(OR(H21="SI",H22="SI",D13=""),"",IF(AND(D16="Solo telco",N(D13)&lt;=0,N(D15)=0),"NO",IF(OR(D16="SI",D16="Solo telco",D14="C",D14="D",N(D13)&gt;0,N(D15)&gt;0),"SI","NO")))</f>
        <v>NO</v>
      </c>
      <c r="I23" s="22"/>
      <c r="J23" s="22"/>
      <c r="K23" s="22"/>
      <c r="L23" s="22"/>
      <c r="M23" s="22"/>
      <c r="N23" s="22"/>
      <c r="O23" s="22"/>
      <c r="P23" s="22"/>
      <c r="Q23" s="22"/>
      <c r="R23" s="22"/>
      <c r="S23" s="22"/>
      <c r="T23" s="22"/>
      <c r="U23" s="22"/>
      <c r="V23" s="22"/>
      <c r="W23" s="22"/>
      <c r="X23" s="22"/>
      <c r="Y23" s="22"/>
      <c r="Z23" s="22"/>
    </row>
    <row r="24" spans="1:26" ht="14.25" customHeight="1" x14ac:dyDescent="0.3">
      <c r="A24" s="22"/>
      <c r="B24" s="73"/>
      <c r="C24" s="74" t="s">
        <v>78</v>
      </c>
      <c r="D24" s="80"/>
      <c r="F24" s="72" t="s">
        <v>79</v>
      </c>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2"/>
      <c r="C25" s="74" t="s">
        <v>80</v>
      </c>
      <c r="D25" s="76"/>
      <c r="E25" s="22"/>
      <c r="F25" s="7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2"/>
      <c r="C26" s="74" t="s">
        <v>81</v>
      </c>
      <c r="D26" s="26"/>
      <c r="E26" s="22"/>
      <c r="F26" s="72" t="s">
        <v>82</v>
      </c>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74"/>
      <c r="D27" s="22"/>
      <c r="E27" s="22"/>
      <c r="F27" s="7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60" t="s">
        <v>83</v>
      </c>
      <c r="C28" s="260"/>
      <c r="D28" s="260"/>
      <c r="E28" s="260"/>
      <c r="F28" s="260"/>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73"/>
      <c r="C29" s="74" t="s">
        <v>84</v>
      </c>
      <c r="D29" s="26"/>
      <c r="F29" s="72" t="s">
        <v>85</v>
      </c>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74" t="s">
        <v>86</v>
      </c>
      <c r="D30" s="76">
        <f ca="1">IFERROR(YEAR(TODAY())-IF(ISNUMBER(D29),D29,YEAR(D29)),"")</f>
        <v>126</v>
      </c>
      <c r="E30" s="22"/>
      <c r="F30" s="7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74" t="s">
        <v>87</v>
      </c>
      <c r="D31" s="81"/>
      <c r="E31" s="22"/>
      <c r="F31" s="72" t="s">
        <v>88</v>
      </c>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74" t="s">
        <v>89</v>
      </c>
      <c r="D32" s="77"/>
      <c r="E32" s="22"/>
      <c r="F32" s="72" t="s">
        <v>90</v>
      </c>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82"/>
      <c r="C33" s="74" t="s">
        <v>91</v>
      </c>
      <c r="D33" s="77"/>
      <c r="E33" s="22"/>
      <c r="F33" s="72" t="s">
        <v>92</v>
      </c>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74" t="s">
        <v>93</v>
      </c>
      <c r="D34" s="77"/>
      <c r="E34" s="22"/>
      <c r="F34" s="72" t="s">
        <v>94</v>
      </c>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c r="C35" s="74" t="s">
        <v>95</v>
      </c>
      <c r="D35" s="81"/>
      <c r="E35" s="22"/>
      <c r="F35" s="72" t="s">
        <v>96</v>
      </c>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73"/>
      <c r="C36" s="74" t="s">
        <v>97</v>
      </c>
      <c r="D36" s="26"/>
      <c r="F36" s="72" t="s">
        <v>98</v>
      </c>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74" t="s">
        <v>99</v>
      </c>
      <c r="D37" s="75"/>
      <c r="E37" s="22"/>
      <c r="F37" s="72" t="s">
        <v>100</v>
      </c>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74" t="s">
        <v>101</v>
      </c>
      <c r="D38" s="26"/>
      <c r="E38" s="22"/>
      <c r="F38" s="72" t="s">
        <v>102</v>
      </c>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74" t="s">
        <v>103</v>
      </c>
      <c r="D39" s="26"/>
      <c r="E39" s="22"/>
      <c r="F39" s="72" t="s">
        <v>104</v>
      </c>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74"/>
      <c r="D40" s="22"/>
      <c r="E40" s="22"/>
      <c r="F40" s="7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60" t="s">
        <v>105</v>
      </c>
      <c r="C41" s="260"/>
      <c r="D41" s="260"/>
      <c r="E41" s="260"/>
      <c r="F41" s="260"/>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74" t="s">
        <v>106</v>
      </c>
      <c r="D42" s="26"/>
      <c r="E42" s="22"/>
      <c r="F42" s="72" t="s">
        <v>107</v>
      </c>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74" t="s">
        <v>108</v>
      </c>
      <c r="D43" s="75"/>
      <c r="E43" s="22"/>
      <c r="F43" s="72" t="s">
        <v>109</v>
      </c>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74" t="s">
        <v>110</v>
      </c>
      <c r="D44" s="83"/>
      <c r="E44" s="22"/>
      <c r="F44" s="72" t="s">
        <v>111</v>
      </c>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84"/>
      <c r="C45" s="74" t="s">
        <v>112</v>
      </c>
      <c r="D45" s="76" t="str">
        <f ca="1">IF(D44="","",DATEDIF(D44,TODAY(),"m"))</f>
        <v/>
      </c>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74" t="s">
        <v>113</v>
      </c>
      <c r="D46" s="26"/>
      <c r="E46" s="22"/>
      <c r="F46" s="72" t="s">
        <v>114</v>
      </c>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74" t="s">
        <v>115</v>
      </c>
      <c r="D47" s="26"/>
      <c r="E47" s="22"/>
      <c r="F47" s="72" t="s">
        <v>116</v>
      </c>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74" t="s">
        <v>117</v>
      </c>
      <c r="D48" s="26"/>
      <c r="E48" s="22"/>
      <c r="F48" s="72" t="s">
        <v>118</v>
      </c>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74" t="s">
        <v>119</v>
      </c>
      <c r="D49" s="26"/>
      <c r="E49" s="22"/>
      <c r="F49" s="72" t="s">
        <v>120</v>
      </c>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60" t="s">
        <v>121</v>
      </c>
      <c r="C50" s="260"/>
      <c r="D50" s="260"/>
      <c r="E50" s="260"/>
      <c r="F50" s="260"/>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74" t="s">
        <v>122</v>
      </c>
      <c r="D51" s="75"/>
      <c r="E51" s="22"/>
      <c r="F51" s="72" t="s">
        <v>123</v>
      </c>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74" t="s">
        <v>124</v>
      </c>
      <c r="D52" s="26"/>
      <c r="E52" s="22"/>
      <c r="F52" s="72" t="s">
        <v>125</v>
      </c>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74" t="s">
        <v>126</v>
      </c>
      <c r="D53" s="75"/>
      <c r="E53" s="85"/>
      <c r="F53" s="72" t="s">
        <v>127</v>
      </c>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74" t="s">
        <v>128</v>
      </c>
      <c r="D54" s="75"/>
      <c r="E54" s="22"/>
      <c r="F54" s="72" t="s">
        <v>129</v>
      </c>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74" t="s">
        <v>130</v>
      </c>
      <c r="D55" s="80"/>
      <c r="E55" s="22"/>
      <c r="F55" s="72" t="s">
        <v>131</v>
      </c>
      <c r="G55" s="22"/>
      <c r="H55" s="22"/>
      <c r="I55" s="22"/>
      <c r="J55" s="22"/>
      <c r="K55" s="22"/>
      <c r="L55" s="22"/>
      <c r="M55" s="22"/>
      <c r="N55" s="22"/>
      <c r="O55" s="22"/>
      <c r="P55" s="22"/>
      <c r="Q55" s="22"/>
      <c r="R55" s="22"/>
      <c r="S55" s="22"/>
      <c r="T55" s="22"/>
      <c r="U55" s="22"/>
      <c r="V55" s="22"/>
      <c r="W55" s="22"/>
      <c r="X55" s="22"/>
      <c r="Y55" s="22"/>
      <c r="Z55" s="22"/>
    </row>
    <row r="56" spans="1:26" s="86" customFormat="1" ht="14.25" customHeight="1" x14ac:dyDescent="0.3">
      <c r="A56" s="82"/>
      <c r="B56" s="82"/>
      <c r="C56" s="74" t="s">
        <v>132</v>
      </c>
      <c r="D56" s="76" t="str">
        <f ca="1">IF(D55="","",DATEDIF(D55,TODAY(),"Y"))</f>
        <v/>
      </c>
      <c r="E56" s="82"/>
      <c r="F56" s="82"/>
      <c r="G56" s="82"/>
      <c r="H56" s="82"/>
      <c r="I56" s="82"/>
      <c r="J56" s="82"/>
      <c r="K56" s="82"/>
      <c r="L56" s="82"/>
      <c r="M56" s="82"/>
      <c r="N56" s="82"/>
      <c r="O56" s="82"/>
      <c r="P56" s="82"/>
      <c r="Q56" s="82"/>
      <c r="R56" s="82"/>
      <c r="S56" s="82"/>
      <c r="T56" s="82"/>
      <c r="U56" s="82"/>
      <c r="V56" s="82"/>
      <c r="W56" s="82"/>
      <c r="X56" s="82"/>
      <c r="Y56" s="82"/>
      <c r="Z56" s="82"/>
    </row>
    <row r="57" spans="1:26" ht="14.25" customHeight="1" x14ac:dyDescent="0.3">
      <c r="A57" s="22"/>
      <c r="B57" s="22"/>
      <c r="C57" s="87"/>
      <c r="D57" s="22"/>
      <c r="E57" s="22"/>
      <c r="F57" s="88"/>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60" t="s">
        <v>133</v>
      </c>
      <c r="C58" s="260"/>
      <c r="D58" s="260"/>
      <c r="E58" s="260"/>
      <c r="F58" s="260"/>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74" t="s">
        <v>134</v>
      </c>
      <c r="D59" s="75"/>
      <c r="E59" s="22"/>
      <c r="F59" s="72" t="s">
        <v>135</v>
      </c>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74" t="s">
        <v>136</v>
      </c>
      <c r="D60" s="77"/>
      <c r="E60" s="22"/>
      <c r="F60" s="72" t="s">
        <v>137</v>
      </c>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74" t="s">
        <v>138</v>
      </c>
      <c r="D61" s="77"/>
      <c r="E61" s="22"/>
      <c r="F61" s="72" t="s">
        <v>139</v>
      </c>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74" t="s">
        <v>140</v>
      </c>
      <c r="D62" s="77"/>
      <c r="E62" s="22"/>
      <c r="F62" s="72" t="s">
        <v>141</v>
      </c>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74" t="s">
        <v>142</v>
      </c>
      <c r="D63" s="75"/>
      <c r="E63" s="22"/>
      <c r="F63" s="72" t="s">
        <v>143</v>
      </c>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74" t="s">
        <v>144</v>
      </c>
      <c r="D64" s="26"/>
      <c r="E64" s="22"/>
      <c r="F64" s="72" t="s">
        <v>145</v>
      </c>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74" t="s">
        <v>146</v>
      </c>
      <c r="D65" s="26"/>
      <c r="E65" s="22"/>
      <c r="F65" s="72" t="s">
        <v>147</v>
      </c>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74" t="s">
        <v>148</v>
      </c>
      <c r="D66" s="75"/>
      <c r="E66" s="22"/>
      <c r="F66" s="72" t="s">
        <v>141</v>
      </c>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74" t="s">
        <v>149</v>
      </c>
      <c r="D67" s="26"/>
      <c r="E67" s="22"/>
      <c r="F67" s="72" t="s">
        <v>150</v>
      </c>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74" t="s">
        <v>151</v>
      </c>
      <c r="C69" s="22"/>
      <c r="D69" s="74" t="s">
        <v>152</v>
      </c>
      <c r="E69" s="22"/>
      <c r="F69" s="74" t="s">
        <v>153</v>
      </c>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25" customHeight="1" x14ac:dyDescent="0.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25" customHeight="1" x14ac:dyDescent="0.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25" customHeight="1" x14ac:dyDescent="0.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25" customHeight="1" x14ac:dyDescent="0.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4.25" customHeight="1" x14ac:dyDescent="0.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4.25" customHeight="1" x14ac:dyDescent="0.3">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sheetData>
  <mergeCells count="10">
    <mergeCell ref="B23:F23"/>
    <mergeCell ref="B28:F28"/>
    <mergeCell ref="B41:F41"/>
    <mergeCell ref="B50:F50"/>
    <mergeCell ref="B58:F58"/>
    <mergeCell ref="B2:F2"/>
    <mergeCell ref="B3:F3"/>
    <mergeCell ref="B5:F5"/>
    <mergeCell ref="D19:F19"/>
    <mergeCell ref="D20:F20"/>
  </mergeCells>
  <conditionalFormatting sqref="D36 D38:D39 D42 D46:D47 D49">
    <cfRule type="expression" dxfId="18" priority="3">
      <formula>$H$20="SI"</formula>
    </cfRule>
  </conditionalFormatting>
  <conditionalFormatting sqref="D24:F67">
    <cfRule type="expression" dxfId="17" priority="2">
      <formula>LEFT($D$19,5)="NEGAR"</formula>
    </cfRule>
  </conditionalFormatting>
  <dataValidations count="15">
    <dataValidation type="list" allowBlank="1" showErrorMessage="1" sqref="D6" xr:uid="{00000000-0002-0000-0100-000000000000}">
      <formula1>"Renovacion,Nuevo Cliente,Rechazado Previo"</formula1>
      <formula2>0</formula2>
    </dataValidation>
    <dataValidation type="list" allowBlank="1" showErrorMessage="1" sqref="D7" xr:uid="{00000000-0002-0000-0100-000001000000}">
      <formula1>"Vigente,Novedad"</formula1>
      <formula2>0</formula2>
    </dataValidation>
    <dataValidation type="list" allowBlank="1" showErrorMessage="1" sqref="D39" xr:uid="{00000000-0002-0000-0100-000002000000}">
      <formula1>LST_TENDENCIA</formula1>
      <formula2>0</formula2>
    </dataValidation>
    <dataValidation type="list" allowBlank="1" showErrorMessage="1" sqref="D42" xr:uid="{00000000-0002-0000-0100-000003000000}">
      <formula1>LST_ESTADO_ACTUAL</formula1>
      <formula2>0</formula2>
    </dataValidation>
    <dataValidation type="list" allowBlank="1" showErrorMessage="1" sqref="D46" xr:uid="{00000000-0002-0000-0100-000004000000}">
      <formula1>LST_CIERRES</formula1>
      <formula2>0</formula2>
    </dataValidation>
    <dataValidation type="list" allowBlank="1" showErrorMessage="1" sqref="D49" xr:uid="{00000000-0002-0000-0100-000005000000}">
      <formula1>LST_PUNTUALIDAD</formula1>
      <formula2>0</formula2>
    </dataValidation>
    <dataValidation type="list" allowBlank="1" showErrorMessage="1" sqref="D64" xr:uid="{00000000-0002-0000-0100-000006000000}">
      <formula1>LST_ADRES</formula1>
      <formula2>0</formula2>
    </dataValidation>
    <dataValidation type="list" allowBlank="1" showErrorMessage="1" sqref="D36" xr:uid="{00000000-0002-0000-0100-000007000000}">
      <formula1>"A,AB,C,DE"</formula1>
      <formula2>0</formula2>
    </dataValidation>
    <dataValidation type="list" allowBlank="1" showErrorMessage="1" sqref="D65" xr:uid="{00000000-0002-0000-0100-000008000000}">
      <formula1>"Si - vehiculo/patrimonio a su nombre verificado,No / no verificable"</formula1>
      <formula2>0</formula2>
    </dataValidation>
    <dataValidation type="list" allowBlank="1" showErrorMessage="1" sqref="D48" xr:uid="{00000000-0002-0000-0100-000009000000}">
      <formula1>"Al dia (sin atrasos),Atrasos leves (1-2 meses),Atrasos serios / en mora,Sin telco"</formula1>
      <formula2>0</formula2>
    </dataValidation>
    <dataValidation type="list" allowBlank="1" showErrorMessage="1" sqref="D38 D47" xr:uid="{00000000-0002-0000-0100-00000A000000}">
      <formula1>"N,1,2,3,4,C,D"</formula1>
      <formula2>0</formula2>
    </dataValidation>
    <dataValidation type="list" allowBlank="1" showErrorMessage="1" sqref="D11" xr:uid="{00000000-0002-0000-0100-00000B000000}">
      <formula1>"SI,NO,Sin experiencia"</formula1>
      <formula2>0</formula2>
    </dataValidation>
    <dataValidation type="list" allowBlank="1" showErrorMessage="1" sqref="D14" xr:uid="{00000000-0002-0000-0100-00000C000000}">
      <formula1>"N,1,2,3,4,C,D,Sin dato"</formula1>
      <formula2>0</formula2>
    </dataValidation>
    <dataValidation type="list" allowBlank="1" showErrorMessage="1" sqref="D18" xr:uid="{00000000-0002-0000-0100-00000D000000}">
      <formula1>"Aprobado,Rechazado,Estudio"</formula1>
      <formula2>0</formula2>
    </dataValidation>
    <dataValidation type="list" allowBlank="1" showErrorMessage="1" sqref="D16" xr:uid="{00000000-0002-0000-0100-00000E000000}">
      <formula1>"SI,NO,Solo telco"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Z164"/>
  <sheetViews>
    <sheetView showGridLines="0" zoomScale="120" zoomScaleNormal="120" workbookViewId="0">
      <selection activeCell="B1" sqref="B1:E1"/>
    </sheetView>
  </sheetViews>
  <sheetFormatPr baseColWidth="10" defaultColWidth="10.88671875" defaultRowHeight="13.8" x14ac:dyDescent="0.3"/>
  <cols>
    <col min="1" max="1" width="5.44140625" style="89" customWidth="1"/>
    <col min="2" max="2" width="10.88671875" style="89"/>
    <col min="3" max="3" width="40.44140625" style="89" customWidth="1"/>
    <col min="4" max="4" width="28.44140625" style="89" customWidth="1"/>
    <col min="5" max="5" width="14.44140625" style="89" customWidth="1"/>
    <col min="6" max="6" width="5.44140625" style="89" customWidth="1"/>
    <col min="7" max="16384" width="10.88671875" style="89"/>
  </cols>
  <sheetData>
    <row r="1" spans="1:26" ht="14.25" customHeight="1" x14ac:dyDescent="0.3">
      <c r="A1" s="22"/>
      <c r="B1" s="262" t="s">
        <v>154</v>
      </c>
      <c r="C1" s="262"/>
      <c r="D1" s="262"/>
      <c r="E1" s="262"/>
      <c r="F1" s="22"/>
      <c r="G1" s="22"/>
      <c r="H1" s="22"/>
      <c r="I1" s="22"/>
      <c r="J1" s="90"/>
      <c r="K1" s="22"/>
      <c r="L1" s="22"/>
      <c r="M1" s="22"/>
      <c r="N1" s="22"/>
      <c r="O1" s="22"/>
      <c r="P1" s="22"/>
      <c r="Q1" s="22"/>
      <c r="R1" s="22"/>
      <c r="S1" s="22"/>
      <c r="T1" s="22"/>
      <c r="U1" s="22"/>
      <c r="V1" s="22"/>
      <c r="W1" s="22"/>
      <c r="X1" s="22"/>
      <c r="Y1" s="22"/>
      <c r="Z1" s="22"/>
    </row>
    <row r="2" spans="1:26" ht="9.75" customHeight="1" x14ac:dyDescent="0.3">
      <c r="A2" s="22"/>
      <c r="B2" s="263" t="s">
        <v>155</v>
      </c>
      <c r="C2" s="263"/>
      <c r="D2" s="263"/>
      <c r="E2" s="263"/>
      <c r="F2" s="22"/>
      <c r="G2" s="22"/>
      <c r="H2" s="22"/>
      <c r="I2" s="22"/>
      <c r="J2" s="22"/>
      <c r="K2" s="22"/>
      <c r="L2" s="22"/>
      <c r="M2" s="22"/>
      <c r="N2" s="22"/>
      <c r="O2" s="22"/>
      <c r="P2" s="22"/>
      <c r="Q2" s="22"/>
      <c r="R2" s="22"/>
      <c r="S2" s="22"/>
      <c r="T2" s="22"/>
      <c r="U2" s="22"/>
      <c r="V2" s="22"/>
      <c r="W2" s="22"/>
      <c r="X2" s="22"/>
      <c r="Y2" s="22"/>
      <c r="Z2" s="22"/>
    </row>
    <row r="3" spans="1:26" ht="14.25" customHeight="1" x14ac:dyDescent="0.3">
      <c r="A3" s="22"/>
      <c r="B3" s="91" t="s">
        <v>156</v>
      </c>
      <c r="C3" s="92"/>
      <c r="D3" s="92"/>
      <c r="E3" s="92"/>
      <c r="F3" s="92"/>
      <c r="G3" s="22"/>
      <c r="H3" s="22"/>
      <c r="I3" s="22"/>
      <c r="J3" s="22"/>
      <c r="K3" s="22"/>
      <c r="L3" s="22"/>
      <c r="M3" s="22"/>
      <c r="N3" s="22"/>
      <c r="O3" s="22"/>
      <c r="P3" s="22"/>
      <c r="Q3" s="22"/>
      <c r="R3" s="22"/>
      <c r="S3" s="22"/>
      <c r="T3" s="22"/>
      <c r="U3" s="22"/>
      <c r="V3" s="22"/>
      <c r="W3" s="22"/>
      <c r="X3" s="22"/>
      <c r="Y3" s="22"/>
      <c r="Z3" s="22"/>
    </row>
    <row r="4" spans="1:26" ht="6" customHeight="1" x14ac:dyDescent="0.3">
      <c r="A4" s="22"/>
      <c r="B4" s="22"/>
      <c r="C4" s="22"/>
      <c r="D4" s="22"/>
      <c r="E4" s="22"/>
      <c r="F4" s="22"/>
      <c r="G4" s="22"/>
      <c r="H4" s="22"/>
      <c r="I4" s="22"/>
      <c r="J4" s="22"/>
      <c r="K4" s="22"/>
      <c r="L4" s="22"/>
      <c r="M4" s="22"/>
      <c r="N4" s="22"/>
      <c r="O4" s="22"/>
      <c r="P4" s="22"/>
      <c r="Q4" s="22"/>
      <c r="R4" s="22"/>
      <c r="S4" s="22"/>
      <c r="T4" s="22"/>
      <c r="U4" s="22"/>
      <c r="V4" s="22"/>
      <c r="W4" s="22"/>
      <c r="X4" s="22"/>
      <c r="Y4" s="22"/>
      <c r="Z4" s="22"/>
    </row>
    <row r="5" spans="1:26" ht="15" customHeight="1" x14ac:dyDescent="0.3">
      <c r="A5" s="22"/>
      <c r="B5" s="93" t="s">
        <v>157</v>
      </c>
      <c r="C5" s="89">
        <f t="array" ref="C5:D5">+'Plan de pagos'!M5:N5</f>
        <v>0</v>
      </c>
      <c r="D5" s="94">
        <v>0</v>
      </c>
      <c r="E5" s="94"/>
      <c r="F5" s="22"/>
      <c r="G5" s="22"/>
      <c r="H5" s="22"/>
      <c r="I5" s="22"/>
      <c r="J5" s="22"/>
      <c r="K5" s="22"/>
      <c r="L5" s="22"/>
      <c r="M5" s="22"/>
      <c r="N5" s="22"/>
      <c r="O5" s="22"/>
      <c r="P5" s="22"/>
      <c r="Q5" s="22"/>
      <c r="R5" s="22"/>
      <c r="S5" s="22"/>
      <c r="T5" s="22"/>
      <c r="U5" s="22"/>
      <c r="V5" s="22"/>
      <c r="W5" s="22"/>
      <c r="X5" s="22"/>
      <c r="Y5" s="22"/>
      <c r="Z5" s="22"/>
    </row>
    <row r="6" spans="1:26" ht="14.25" customHeight="1" x14ac:dyDescent="0.3">
      <c r="A6" s="22"/>
      <c r="B6" s="93" t="s">
        <v>158</v>
      </c>
      <c r="C6" s="95">
        <f t="array" ref="C6:D6">+'Plan de pagos'!M6:N6</f>
        <v>0</v>
      </c>
      <c r="D6" s="94">
        <v>0</v>
      </c>
      <c r="E6" s="94"/>
      <c r="F6" s="22"/>
      <c r="G6" s="22"/>
      <c r="H6" s="22"/>
      <c r="I6" s="22"/>
      <c r="J6" s="22"/>
      <c r="K6" s="22"/>
      <c r="L6" s="22"/>
      <c r="M6" s="22"/>
      <c r="N6" s="22"/>
      <c r="O6" s="22"/>
      <c r="P6" s="22"/>
      <c r="Q6" s="22"/>
      <c r="R6" s="22"/>
      <c r="S6" s="22"/>
      <c r="T6" s="22"/>
      <c r="U6" s="22"/>
      <c r="V6" s="22"/>
      <c r="W6" s="22"/>
      <c r="X6" s="22"/>
      <c r="Y6" s="22"/>
      <c r="Z6" s="22"/>
    </row>
    <row r="7" spans="1:26" ht="8.25" customHeight="1" x14ac:dyDescent="0.3">
      <c r="A7" s="22"/>
      <c r="B7" s="96"/>
      <c r="C7" s="97"/>
      <c r="D7" s="94"/>
      <c r="E7" s="94"/>
      <c r="F7" s="22"/>
      <c r="G7" s="22"/>
      <c r="H7" s="22"/>
      <c r="I7" s="22"/>
      <c r="J7" s="22"/>
      <c r="K7" s="22"/>
      <c r="L7" s="22"/>
      <c r="M7" s="22"/>
      <c r="N7" s="22"/>
      <c r="O7" s="22"/>
      <c r="P7" s="22"/>
      <c r="Q7" s="22"/>
      <c r="R7" s="22"/>
      <c r="S7" s="22"/>
      <c r="T7" s="22"/>
      <c r="U7" s="22"/>
      <c r="V7" s="22"/>
      <c r="W7" s="22"/>
      <c r="X7" s="22"/>
      <c r="Y7" s="22"/>
      <c r="Z7" s="22"/>
    </row>
    <row r="8" spans="1:26" ht="14.25" customHeight="1" x14ac:dyDescent="0.3">
      <c r="A8" s="22"/>
      <c r="B8" s="264" t="s">
        <v>159</v>
      </c>
      <c r="C8" s="264"/>
      <c r="D8" s="98" t="s">
        <v>160</v>
      </c>
      <c r="E8" s="98" t="s">
        <v>161</v>
      </c>
      <c r="F8" s="22"/>
      <c r="G8" s="22"/>
      <c r="H8" s="22"/>
      <c r="I8" s="22"/>
      <c r="J8" s="22"/>
      <c r="K8" s="22"/>
      <c r="L8" s="22"/>
      <c r="M8" s="22"/>
      <c r="N8" s="22"/>
      <c r="O8" s="22"/>
      <c r="P8" s="22"/>
      <c r="Q8" s="22"/>
      <c r="R8" s="22"/>
      <c r="S8" s="22"/>
      <c r="T8" s="22"/>
      <c r="U8" s="22"/>
      <c r="V8" s="22"/>
      <c r="W8" s="22"/>
      <c r="X8" s="22"/>
      <c r="Y8" s="22"/>
      <c r="Z8" s="22"/>
    </row>
    <row r="9" spans="1:26" ht="14.25" customHeight="1" x14ac:dyDescent="0.3">
      <c r="A9" s="22"/>
      <c r="B9" s="99"/>
      <c r="C9" s="100" t="s">
        <v>140</v>
      </c>
      <c r="D9" s="101">
        <f>+'Captura información'!D62</f>
        <v>0</v>
      </c>
      <c r="E9" s="102"/>
      <c r="F9" s="22"/>
      <c r="G9" s="22"/>
      <c r="H9" s="22"/>
      <c r="I9" s="22"/>
      <c r="J9" s="22"/>
      <c r="K9" s="22"/>
      <c r="L9" s="22"/>
      <c r="M9" s="22"/>
      <c r="N9" s="22"/>
      <c r="O9" s="22"/>
      <c r="P9" s="22"/>
      <c r="Q9" s="22"/>
      <c r="R9" s="22"/>
      <c r="S9" s="22"/>
      <c r="T9" s="22"/>
      <c r="U9" s="22"/>
      <c r="V9" s="22"/>
      <c r="W9" s="22"/>
      <c r="X9" s="22"/>
      <c r="Y9" s="22"/>
      <c r="Z9" s="22"/>
    </row>
    <row r="10" spans="1:26" ht="14.25" customHeight="1" x14ac:dyDescent="0.3">
      <c r="A10" s="22"/>
      <c r="B10" s="99"/>
      <c r="C10" s="103" t="s">
        <v>136</v>
      </c>
      <c r="D10" s="104">
        <f>+'Captura información'!D60</f>
        <v>0</v>
      </c>
      <c r="E10" s="105"/>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65" t="s">
        <v>162</v>
      </c>
      <c r="C11" s="100" t="s">
        <v>163</v>
      </c>
      <c r="D11" s="106">
        <f>IF(Reglas!$B$21="Declarado",D9,IF(Reglas!$B$21="QUANTO",D10,MIN(D9,D10)))</f>
        <v>0</v>
      </c>
      <c r="E11" s="107" t="str">
        <f>IFERROR(+D11/D16,"")</f>
        <v/>
      </c>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65"/>
      <c r="C12" s="108" t="s">
        <v>164</v>
      </c>
      <c r="D12" s="109">
        <v>0</v>
      </c>
      <c r="E12" s="110" t="str">
        <f>IFERROR(+D12/D16,"")</f>
        <v/>
      </c>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265"/>
      <c r="C13" s="108" t="s">
        <v>165</v>
      </c>
      <c r="D13" s="109">
        <v>0</v>
      </c>
      <c r="E13" s="110" t="str">
        <f>IFERROR(+D13/D16,"")</f>
        <v/>
      </c>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22"/>
      <c r="B14" s="265"/>
      <c r="C14" s="108" t="s">
        <v>166</v>
      </c>
      <c r="D14" s="109">
        <v>0</v>
      </c>
      <c r="E14" s="110" t="str">
        <f>IFERROR(+D14/D16,"")</f>
        <v/>
      </c>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265"/>
      <c r="C15" s="108" t="s">
        <v>167</v>
      </c>
      <c r="D15" s="109">
        <v>0</v>
      </c>
      <c r="E15" s="110" t="str">
        <f>IFERROR(+D15/D16,"")</f>
        <v/>
      </c>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65"/>
      <c r="C16" s="108" t="s">
        <v>168</v>
      </c>
      <c r="D16" s="111">
        <f>SUM(D11:D15)</f>
        <v>0</v>
      </c>
      <c r="E16" s="110">
        <f>SUM(E11:E15)</f>
        <v>0</v>
      </c>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65"/>
      <c r="C17" s="108" t="s">
        <v>169</v>
      </c>
      <c r="D17" s="111">
        <f>+D16*0.08</f>
        <v>0</v>
      </c>
      <c r="E17" s="110" t="str">
        <f>IFERROR(+D17/D16,"")</f>
        <v/>
      </c>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65"/>
      <c r="C18" s="112" t="s">
        <v>170</v>
      </c>
      <c r="D18" s="113">
        <f>D16-D17</f>
        <v>0</v>
      </c>
      <c r="E18" s="114"/>
      <c r="F18" s="22"/>
      <c r="G18" s="22"/>
      <c r="H18" s="22"/>
      <c r="I18" s="22"/>
      <c r="J18" s="22"/>
      <c r="K18" s="22"/>
      <c r="L18" s="22"/>
      <c r="M18" s="22"/>
      <c r="N18" s="22"/>
      <c r="O18" s="22"/>
      <c r="P18" s="22"/>
      <c r="Q18" s="22"/>
      <c r="R18" s="22"/>
      <c r="S18" s="22"/>
      <c r="T18" s="22"/>
      <c r="U18" s="22"/>
      <c r="V18" s="22"/>
      <c r="W18" s="22"/>
      <c r="X18" s="22"/>
      <c r="Y18" s="22"/>
      <c r="Z18" s="22"/>
    </row>
    <row r="19" spans="1:26" ht="5.25" customHeight="1" x14ac:dyDescent="0.3">
      <c r="A19" s="22"/>
      <c r="B19" s="22"/>
      <c r="C19" s="22"/>
      <c r="D19" s="115"/>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22"/>
      <c r="B20" s="265" t="s">
        <v>171</v>
      </c>
      <c r="C20" s="100" t="s">
        <v>172</v>
      </c>
      <c r="D20" s="106">
        <f>D18*Reglas!$B$15</f>
        <v>0</v>
      </c>
      <c r="E20" s="107" t="str">
        <f>IFERROR(+D20/D28,"")</f>
        <v/>
      </c>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65"/>
      <c r="C21" s="108" t="s">
        <v>173</v>
      </c>
      <c r="D21" s="109">
        <v>0</v>
      </c>
      <c r="E21" s="110" t="str">
        <f>IFERROR(+D21/D28,"")</f>
        <v/>
      </c>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2"/>
      <c r="B22" s="265"/>
      <c r="C22" s="108" t="s">
        <v>174</v>
      </c>
      <c r="D22" s="101">
        <f>'Captura información'!D66*(D18*Reglas!$B$19)</f>
        <v>0</v>
      </c>
      <c r="E22" s="110" t="str">
        <f>IFERROR(+D22/D28,"")</f>
        <v/>
      </c>
      <c r="F22" s="115"/>
      <c r="G22" s="22"/>
      <c r="H22" s="115"/>
      <c r="I22" s="22"/>
      <c r="J22" s="22"/>
      <c r="K22" s="22"/>
      <c r="L22" s="22"/>
      <c r="M22" s="22"/>
      <c r="N22" s="22"/>
      <c r="O22" s="22"/>
      <c r="P22" s="22"/>
      <c r="Q22" s="22"/>
      <c r="R22" s="22"/>
      <c r="S22" s="22"/>
      <c r="T22" s="22"/>
      <c r="U22" s="22"/>
      <c r="V22" s="22"/>
      <c r="W22" s="22"/>
      <c r="X22" s="22"/>
      <c r="Y22" s="22"/>
      <c r="Z22" s="22"/>
    </row>
    <row r="23" spans="1:26" ht="14.25" customHeight="1" x14ac:dyDescent="0.3">
      <c r="A23" s="22"/>
      <c r="B23" s="265"/>
      <c r="C23" s="108" t="s">
        <v>175</v>
      </c>
      <c r="D23" s="101">
        <f>'Captura información'!D32</f>
        <v>0</v>
      </c>
      <c r="E23" s="116">
        <v>0</v>
      </c>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65"/>
      <c r="C24" s="108" t="s">
        <v>176</v>
      </c>
      <c r="D24" s="101">
        <f>+'Captura información'!D34</f>
        <v>0</v>
      </c>
      <c r="E24" s="110" t="str">
        <f>IFERROR(+D24/D28,"")</f>
        <v/>
      </c>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65"/>
      <c r="C25" s="108" t="s">
        <v>177</v>
      </c>
      <c r="D25" s="101">
        <f>('Captura información'!D32-'Captura información'!D33)+'Captura información'!D33*Reglas!$B$14</f>
        <v>0</v>
      </c>
      <c r="E25" s="110" t="str">
        <f>IFERROR(+D25/D28,"")</f>
        <v/>
      </c>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65"/>
      <c r="C26" s="108" t="s">
        <v>178</v>
      </c>
      <c r="D26" s="109">
        <v>0</v>
      </c>
      <c r="E26" s="110" t="str">
        <f>IFERROR(+D26/D28,"")</f>
        <v/>
      </c>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65"/>
      <c r="C27" s="108" t="s">
        <v>179</v>
      </c>
      <c r="D27" s="109">
        <v>0</v>
      </c>
      <c r="E27" s="110" t="str">
        <f>IFERROR(+D27/D28,"")</f>
        <v/>
      </c>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65"/>
      <c r="C28" s="112" t="s">
        <v>180</v>
      </c>
      <c r="D28" s="113">
        <f>SUM(D20:D22)+ SUM(D24:D27)</f>
        <v>0</v>
      </c>
      <c r="E28" s="114">
        <f>SUM(E20:E27)</f>
        <v>0</v>
      </c>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3.5" customHeight="1" x14ac:dyDescent="0.3">
      <c r="B30" s="266" t="s">
        <v>181</v>
      </c>
      <c r="C30" s="266"/>
      <c r="D30" s="266"/>
      <c r="E30" s="266"/>
    </row>
    <row r="31" spans="1:26" ht="12.75" customHeight="1" x14ac:dyDescent="0.3">
      <c r="B31" s="117"/>
      <c r="C31" s="118" t="s">
        <v>182</v>
      </c>
      <c r="D31" s="119"/>
      <c r="E31" s="120">
        <f>+'Plan de pagos'!P13</f>
        <v>0</v>
      </c>
    </row>
    <row r="32" spans="1:26" ht="12.75" customHeight="1" x14ac:dyDescent="0.3">
      <c r="B32" s="121" t="s">
        <v>183</v>
      </c>
      <c r="C32" s="122" t="s">
        <v>184</v>
      </c>
      <c r="E32" s="123">
        <f>+'Plan de pagos'!P14</f>
        <v>0</v>
      </c>
    </row>
    <row r="33" spans="2:8" ht="12.75" customHeight="1" x14ac:dyDescent="0.3">
      <c r="B33" s="121" t="s">
        <v>185</v>
      </c>
      <c r="C33" s="267" t="s">
        <v>186</v>
      </c>
      <c r="D33" s="267"/>
      <c r="E33" s="124">
        <f t="array" ref="E33:G33">+'Plan de pagos'!F8:H8</f>
        <v>2</v>
      </c>
      <c r="F33" s="125">
        <v>0</v>
      </c>
      <c r="G33" s="125">
        <v>0</v>
      </c>
      <c r="H33" s="125"/>
    </row>
    <row r="34" spans="2:8" ht="12.75" customHeight="1" x14ac:dyDescent="0.3">
      <c r="B34" s="121"/>
      <c r="C34" s="267" t="s">
        <v>187</v>
      </c>
      <c r="D34" s="267"/>
      <c r="E34" s="126">
        <f>+'Plan de pagos'!J6</f>
        <v>0.24260000000000001</v>
      </c>
      <c r="F34" s="125"/>
      <c r="G34" s="125"/>
      <c r="H34" s="125"/>
    </row>
    <row r="35" spans="2:8" ht="14.25" customHeight="1" x14ac:dyDescent="0.3">
      <c r="B35" s="127"/>
      <c r="C35" s="268" t="s">
        <v>188</v>
      </c>
      <c r="D35" s="268"/>
      <c r="E35" s="128">
        <f t="array" ref="E35:G35">+'Plan de pagos'!F7:H7</f>
        <v>1.8265303401955091E-2</v>
      </c>
      <c r="F35" s="125">
        <v>0</v>
      </c>
      <c r="G35" s="125">
        <v>0</v>
      </c>
      <c r="H35" s="125"/>
    </row>
    <row r="36" spans="2:8" ht="12.75" customHeight="1" x14ac:dyDescent="0.3">
      <c r="B36" s="129"/>
      <c r="C36" s="119" t="s">
        <v>189</v>
      </c>
      <c r="D36" s="119"/>
      <c r="E36" s="120">
        <f>+D18-D28</f>
        <v>0</v>
      </c>
    </row>
    <row r="37" spans="2:8" ht="12.75" customHeight="1" x14ac:dyDescent="0.3">
      <c r="B37" s="130"/>
      <c r="C37" s="89" t="s">
        <v>190</v>
      </c>
      <c r="E37" s="123">
        <f>+'Plan de pagos'!P19</f>
        <v>15469.209084175716</v>
      </c>
    </row>
    <row r="38" spans="2:8" ht="12.75" customHeight="1" x14ac:dyDescent="0.3">
      <c r="B38" s="130"/>
      <c r="C38" s="89" t="s">
        <v>191</v>
      </c>
      <c r="E38" s="123">
        <f>+E36-E37</f>
        <v>-15469.209084175716</v>
      </c>
    </row>
    <row r="39" spans="2:8" ht="12.75" customHeight="1" x14ac:dyDescent="0.3">
      <c r="B39" s="130"/>
      <c r="C39" s="89" t="s">
        <v>192</v>
      </c>
      <c r="E39" s="123">
        <f>D18*Reglas!$B$17</f>
        <v>0</v>
      </c>
    </row>
    <row r="40" spans="2:8" ht="12.75" customHeight="1" x14ac:dyDescent="0.3">
      <c r="B40" s="130"/>
      <c r="C40" s="89" t="s">
        <v>193</v>
      </c>
      <c r="E40" s="110" t="str">
        <f>IFERROR(+E37/E36,"")</f>
        <v/>
      </c>
    </row>
    <row r="41" spans="2:8" ht="12.75" customHeight="1" x14ac:dyDescent="0.3">
      <c r="B41" s="130"/>
      <c r="C41" s="89" t="s">
        <v>194</v>
      </c>
      <c r="E41" s="131">
        <v>0</v>
      </c>
    </row>
    <row r="42" spans="2:8" ht="12.75" customHeight="1" x14ac:dyDescent="0.3">
      <c r="B42" s="130" t="s">
        <v>195</v>
      </c>
      <c r="C42" s="89" t="s">
        <v>196</v>
      </c>
      <c r="E42" s="110" t="str">
        <f>IFERROR((+D25+D24+D26)/D18,"")</f>
        <v/>
      </c>
    </row>
    <row r="43" spans="2:8" ht="12.75" customHeight="1" x14ac:dyDescent="0.3">
      <c r="B43" s="130"/>
      <c r="C43" s="89" t="s">
        <v>197</v>
      </c>
      <c r="E43" s="110" t="str">
        <f>IFERROR(E37/D18,"")</f>
        <v/>
      </c>
    </row>
    <row r="44" spans="2:8" ht="12.75" customHeight="1" x14ac:dyDescent="0.3">
      <c r="B44" s="130"/>
      <c r="C44" s="132" t="s">
        <v>198</v>
      </c>
      <c r="E44" s="123">
        <f>+D18-D20-D21-D22-D26-D27-'Captura información'!D32-D24-E37</f>
        <v>-15469.209084175716</v>
      </c>
    </row>
    <row r="45" spans="2:8" ht="12.75" customHeight="1" x14ac:dyDescent="0.3">
      <c r="B45" s="130"/>
      <c r="C45" s="132" t="s">
        <v>199</v>
      </c>
      <c r="E45" s="123">
        <f>+E36</f>
        <v>0</v>
      </c>
    </row>
    <row r="46" spans="2:8" ht="12.75" customHeight="1" x14ac:dyDescent="0.3">
      <c r="B46" s="130"/>
      <c r="C46" s="132" t="s">
        <v>200</v>
      </c>
      <c r="E46" s="123">
        <f>+E38</f>
        <v>-15469.209084175716</v>
      </c>
    </row>
    <row r="47" spans="2:8" ht="12.75" customHeight="1" x14ac:dyDescent="0.3">
      <c r="B47" s="130"/>
      <c r="C47" s="132" t="s">
        <v>201</v>
      </c>
      <c r="E47" s="110">
        <f>IFERROR((D25+D24+E37)/D18,0)</f>
        <v>0</v>
      </c>
    </row>
    <row r="48" spans="2:8" ht="12.75" customHeight="1" x14ac:dyDescent="0.3">
      <c r="B48" s="130"/>
      <c r="C48" s="132" t="s">
        <v>202</v>
      </c>
      <c r="E48" s="116">
        <f>IFERROR(D9/D10,0)</f>
        <v>0</v>
      </c>
    </row>
    <row r="49" spans="1:26" ht="12.75" customHeight="1" x14ac:dyDescent="0.3">
      <c r="B49" s="130"/>
      <c r="C49" s="132" t="s">
        <v>203</v>
      </c>
      <c r="E49" s="110">
        <f>IFERROR(E37/D25,0)</f>
        <v>0</v>
      </c>
    </row>
    <row r="50" spans="1:26" ht="12.75" customHeight="1" x14ac:dyDescent="0.3">
      <c r="B50" s="133"/>
      <c r="C50" s="134" t="s">
        <v>204</v>
      </c>
      <c r="D50" s="134"/>
      <c r="E50" s="135" t="str">
        <f>IFERROR(SUM(D25+D24+D26+D27+E37)/D18,"")</f>
        <v/>
      </c>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87" t="s">
        <v>205</v>
      </c>
      <c r="D52" s="136" t="str">
        <f>IF(D18&lt;=0,"SIN DATOS",IF(E46&gt;=E39,"SI","NO"))</f>
        <v>SIN DATOS</v>
      </c>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137"/>
      <c r="C54" s="138"/>
      <c r="D54" s="22"/>
      <c r="E54" s="139"/>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137"/>
      <c r="C55" s="138"/>
      <c r="D55" s="22"/>
      <c r="E55" s="139"/>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137"/>
      <c r="C56" s="138"/>
      <c r="D56" s="22"/>
      <c r="E56" s="139"/>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137"/>
      <c r="C57" s="138"/>
      <c r="D57" s="22"/>
      <c r="E57" s="140"/>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137"/>
      <c r="C58" s="138"/>
      <c r="D58" s="22"/>
      <c r="E58" s="141"/>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137"/>
      <c r="C59" s="138"/>
      <c r="D59" s="22"/>
      <c r="E59" s="140"/>
      <c r="F59" s="22"/>
      <c r="G59" s="22"/>
      <c r="H59" s="22"/>
      <c r="I59" s="22"/>
      <c r="J59" s="90"/>
      <c r="K59" s="22"/>
      <c r="L59" s="22"/>
      <c r="M59" s="22"/>
      <c r="N59" s="22"/>
      <c r="O59" s="22"/>
      <c r="P59" s="22"/>
      <c r="Q59" s="22"/>
      <c r="R59" s="22"/>
      <c r="S59" s="22"/>
      <c r="T59" s="22"/>
      <c r="U59" s="22"/>
      <c r="V59" s="22"/>
      <c r="W59" s="22"/>
      <c r="X59" s="22"/>
      <c r="Y59" s="22"/>
      <c r="Z59" s="22"/>
    </row>
    <row r="60" spans="1:26" ht="14.25" customHeight="1" x14ac:dyDescent="0.3">
      <c r="A60" s="22"/>
      <c r="B60" s="137"/>
      <c r="C60" s="138"/>
      <c r="D60" s="22"/>
      <c r="E60" s="140"/>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137"/>
      <c r="C61" s="138"/>
      <c r="D61" s="22"/>
      <c r="E61" s="140"/>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137"/>
      <c r="C62" s="138"/>
      <c r="D62" s="22"/>
      <c r="E62" s="140"/>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137"/>
      <c r="C63" s="138"/>
      <c r="D63" s="22"/>
      <c r="E63" s="140"/>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137"/>
      <c r="C64" s="138"/>
      <c r="D64" s="22"/>
      <c r="E64" s="14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137"/>
      <c r="C65" s="138"/>
      <c r="D65" s="22"/>
      <c r="E65" s="142"/>
      <c r="F65" s="22"/>
      <c r="G65" s="22"/>
      <c r="H65" s="22"/>
      <c r="I65" s="22"/>
      <c r="J65" s="22"/>
      <c r="K65" s="22"/>
      <c r="L65" s="22"/>
      <c r="M65" s="22"/>
      <c r="N65" s="22"/>
      <c r="O65" s="22"/>
      <c r="P65" s="22"/>
      <c r="Q65" s="22"/>
      <c r="R65" s="22"/>
      <c r="S65" s="22"/>
      <c r="T65" s="22"/>
      <c r="U65" s="22"/>
      <c r="V65" s="22"/>
      <c r="W65" s="22"/>
      <c r="X65" s="22"/>
      <c r="Y65" s="22"/>
      <c r="Z65" s="22"/>
    </row>
    <row r="66" spans="1:26" ht="15" customHeight="1" x14ac:dyDescent="0.3">
      <c r="A66" s="22"/>
      <c r="B66" s="143"/>
      <c r="C66" s="138"/>
      <c r="D66" s="138"/>
      <c r="E66" s="139"/>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143"/>
      <c r="C67" s="138"/>
      <c r="D67" s="22"/>
      <c r="E67" s="139"/>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143"/>
      <c r="C68" s="144"/>
      <c r="D68" s="144"/>
      <c r="E68" s="139"/>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143"/>
      <c r="C69" s="144"/>
      <c r="D69" s="144"/>
      <c r="E69" s="139"/>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137"/>
      <c r="C70" s="138"/>
      <c r="D70" s="22"/>
      <c r="E70" s="145"/>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143"/>
      <c r="C71" s="138"/>
      <c r="D71" s="138"/>
      <c r="E71" s="146"/>
      <c r="F71" s="22"/>
      <c r="G71" s="22"/>
      <c r="H71" s="22"/>
      <c r="I71" s="22"/>
      <c r="J71" s="22"/>
      <c r="K71" s="22"/>
      <c r="L71" s="22"/>
      <c r="M71" s="22"/>
      <c r="N71" s="22"/>
      <c r="O71" s="22"/>
      <c r="P71" s="22"/>
      <c r="Q71" s="22"/>
      <c r="R71" s="22"/>
      <c r="S71" s="22"/>
      <c r="T71" s="22"/>
      <c r="U71" s="22"/>
      <c r="V71" s="22"/>
      <c r="W71" s="22"/>
      <c r="X71" s="22"/>
      <c r="Y71" s="22"/>
      <c r="Z71" s="22"/>
    </row>
    <row r="72" spans="1:26" ht="5.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25" customHeight="1" x14ac:dyDescent="0.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25" customHeight="1" x14ac:dyDescent="0.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25" customHeight="1" x14ac:dyDescent="0.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25" customHeight="1" x14ac:dyDescent="0.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sheetData>
  <mergeCells count="9">
    <mergeCell ref="B30:E30"/>
    <mergeCell ref="C33:D33"/>
    <mergeCell ref="C34:D34"/>
    <mergeCell ref="C35:D35"/>
    <mergeCell ref="B1:E1"/>
    <mergeCell ref="B2:E2"/>
    <mergeCell ref="B8:C8"/>
    <mergeCell ref="B11:B18"/>
    <mergeCell ref="B20:B28"/>
  </mergeCells>
  <conditionalFormatting sqref="D52">
    <cfRule type="cellIs" dxfId="16" priority="2" operator="equal">
      <formula>"NO"</formula>
    </cfRule>
  </conditionalFormatting>
  <printOptions horizontalCentered="1" verticalCentered="1"/>
  <pageMargins left="0.51180555555555596" right="0.51180555555555596" top="0.94513888888888897" bottom="0.55138888888888904" header="0.31527777777777799" footer="0.31527777777777799"/>
  <pageSetup scale="84" orientation="portrait" horizontalDpi="300" verticalDpi="300"/>
  <headerFooter>
    <oddHeader>&amp;R_x005F_x000a__x005F_x000a_&amp;D</oddHeader>
    <oddFooter>&amp;R&amp;T</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Z165"/>
  <sheetViews>
    <sheetView showGridLines="0" topLeftCell="A48" zoomScale="91" zoomScaleNormal="91" workbookViewId="0">
      <selection activeCell="C78" sqref="C78:G78"/>
    </sheetView>
  </sheetViews>
  <sheetFormatPr baseColWidth="10" defaultColWidth="9.109375" defaultRowHeight="14.4" x14ac:dyDescent="0.3"/>
  <cols>
    <col min="1" max="1" width="2" customWidth="1"/>
    <col min="2" max="2" width="3" customWidth="1"/>
    <col min="3" max="3" width="63.77734375" customWidth="1"/>
    <col min="4" max="4" width="35.5546875" customWidth="1"/>
    <col min="5" max="5" width="30" customWidth="1"/>
    <col min="6" max="6" width="7" customWidth="1"/>
    <col min="7" max="7" width="6" customWidth="1"/>
    <col min="8" max="8" width="40" customWidth="1"/>
  </cols>
  <sheetData>
    <row r="1" spans="1:26" ht="14.2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8" customHeight="1" x14ac:dyDescent="0.35">
      <c r="A2" s="22"/>
      <c r="B2" s="269" t="s">
        <v>206</v>
      </c>
      <c r="C2" s="269"/>
      <c r="D2" s="269"/>
      <c r="E2" s="269"/>
      <c r="F2" s="269"/>
      <c r="G2" s="269"/>
      <c r="H2" s="269"/>
      <c r="I2" s="22"/>
      <c r="J2" s="22"/>
      <c r="K2" s="22"/>
      <c r="L2" s="22"/>
      <c r="M2" s="22"/>
      <c r="N2" s="22"/>
      <c r="O2" s="22"/>
      <c r="P2" s="22"/>
      <c r="Q2" s="22"/>
      <c r="R2" s="22"/>
      <c r="S2" s="22"/>
      <c r="T2" s="22"/>
      <c r="U2" s="22"/>
      <c r="V2" s="22"/>
      <c r="W2" s="22"/>
      <c r="X2" s="22"/>
      <c r="Y2" s="22"/>
      <c r="Z2" s="22"/>
    </row>
    <row r="3" spans="1:26" ht="14.25" customHeight="1" x14ac:dyDescent="0.3">
      <c r="A3" s="22"/>
      <c r="B3" s="259" t="s">
        <v>207</v>
      </c>
      <c r="C3" s="259"/>
      <c r="D3" s="259"/>
      <c r="E3" s="259"/>
      <c r="F3" s="259"/>
      <c r="G3" s="259"/>
      <c r="H3" s="259"/>
      <c r="I3" s="22"/>
      <c r="J3" s="22"/>
      <c r="K3" s="22"/>
      <c r="L3" s="22"/>
      <c r="M3" s="22"/>
      <c r="N3" s="22"/>
      <c r="O3" s="22"/>
      <c r="P3" s="22"/>
      <c r="Q3" s="22"/>
      <c r="R3" s="22"/>
      <c r="S3" s="22"/>
      <c r="T3" s="22"/>
      <c r="U3" s="22"/>
      <c r="V3" s="22"/>
      <c r="W3" s="22"/>
      <c r="X3" s="22"/>
      <c r="Y3" s="22"/>
      <c r="Z3" s="22"/>
    </row>
    <row r="4" spans="1:26" ht="14.25" customHeight="1" x14ac:dyDescent="0.3">
      <c r="A4" s="22"/>
      <c r="B4" s="22"/>
      <c r="C4" s="22"/>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22"/>
      <c r="B5" s="260" t="s">
        <v>208</v>
      </c>
      <c r="C5" s="260"/>
      <c r="D5" s="260"/>
      <c r="E5" s="260"/>
      <c r="F5" s="260"/>
      <c r="G5" s="260"/>
      <c r="H5" s="260"/>
      <c r="I5" s="22"/>
      <c r="J5" s="22"/>
      <c r="K5" s="22"/>
      <c r="L5" s="22"/>
      <c r="M5" s="22"/>
      <c r="N5" s="22"/>
      <c r="O5" s="22"/>
      <c r="P5" s="22"/>
      <c r="Q5" s="22"/>
      <c r="R5" s="22"/>
      <c r="S5" s="22"/>
      <c r="T5" s="22"/>
      <c r="U5" s="22"/>
      <c r="V5" s="22"/>
      <c r="W5" s="22"/>
      <c r="X5" s="22"/>
      <c r="Y5" s="22"/>
      <c r="Z5" s="22"/>
    </row>
    <row r="6" spans="1:26" ht="14.25" customHeight="1" x14ac:dyDescent="0.3">
      <c r="A6" s="22"/>
      <c r="B6" s="22"/>
      <c r="C6" s="132" t="s">
        <v>209</v>
      </c>
      <c r="D6" s="270">
        <f>'Flujo credito'!C5</f>
        <v>0</v>
      </c>
      <c r="E6" s="270"/>
      <c r="F6" s="22"/>
      <c r="G6" s="22"/>
      <c r="H6" s="22"/>
      <c r="I6" s="22"/>
      <c r="J6" s="22"/>
      <c r="K6" s="22"/>
      <c r="L6" s="22"/>
      <c r="M6" s="22"/>
      <c r="N6" s="22"/>
      <c r="O6" s="22"/>
      <c r="P6" s="22"/>
      <c r="Q6" s="22"/>
      <c r="R6" s="22"/>
      <c r="S6" s="22"/>
      <c r="T6" s="22"/>
      <c r="U6" s="22"/>
      <c r="V6" s="22"/>
      <c r="W6" s="22"/>
      <c r="X6" s="22"/>
      <c r="Y6" s="22"/>
      <c r="Z6" s="22"/>
    </row>
    <row r="7" spans="1:26" ht="14.25" customHeight="1" x14ac:dyDescent="0.3">
      <c r="A7" s="22"/>
      <c r="B7" s="22"/>
      <c r="C7" s="132" t="s">
        <v>210</v>
      </c>
      <c r="D7" s="270">
        <f>'Flujo credito'!C6</f>
        <v>0</v>
      </c>
      <c r="E7" s="270"/>
      <c r="F7" s="22"/>
      <c r="G7" s="22"/>
      <c r="H7" s="22"/>
      <c r="I7" s="22"/>
      <c r="J7" s="22"/>
      <c r="K7" s="22"/>
      <c r="L7" s="22"/>
      <c r="M7" s="22"/>
      <c r="N7" s="22"/>
      <c r="O7" s="22"/>
      <c r="P7" s="22"/>
      <c r="Q7" s="22"/>
      <c r="R7" s="22"/>
      <c r="S7" s="22"/>
      <c r="T7" s="22"/>
      <c r="U7" s="22"/>
      <c r="V7" s="22"/>
      <c r="W7" s="22"/>
      <c r="X7" s="22"/>
      <c r="Y7" s="22"/>
      <c r="Z7" s="22"/>
    </row>
    <row r="8" spans="1:26" ht="14.25" customHeight="1" x14ac:dyDescent="0.3">
      <c r="A8" s="22"/>
      <c r="B8" s="22"/>
      <c r="C8" s="132" t="s">
        <v>211</v>
      </c>
      <c r="D8" s="9" t="s">
        <v>212</v>
      </c>
      <c r="E8" s="9"/>
      <c r="F8" s="22"/>
      <c r="G8" s="22"/>
      <c r="H8" s="22"/>
      <c r="I8" s="22"/>
      <c r="J8" s="22"/>
      <c r="K8" s="22"/>
      <c r="L8" s="22"/>
      <c r="M8" s="22"/>
      <c r="N8" s="22"/>
      <c r="O8" s="22"/>
      <c r="P8" s="22"/>
      <c r="Q8" s="22"/>
      <c r="R8" s="22"/>
      <c r="S8" s="22"/>
      <c r="T8" s="22"/>
      <c r="U8" s="22"/>
      <c r="V8" s="22"/>
      <c r="W8" s="22"/>
      <c r="X8" s="22"/>
      <c r="Y8" s="22"/>
      <c r="Z8" s="22"/>
    </row>
    <row r="9" spans="1:26" ht="14.25" customHeight="1" x14ac:dyDescent="0.3">
      <c r="A9" s="22"/>
      <c r="B9" s="22"/>
      <c r="C9" s="132" t="s">
        <v>213</v>
      </c>
      <c r="D9" s="9" t="str">
        <f>'Captura información'!D6</f>
        <v>Renovacion</v>
      </c>
      <c r="E9" s="9"/>
      <c r="F9" s="22"/>
      <c r="G9" s="22"/>
      <c r="H9" s="22"/>
      <c r="I9" s="22"/>
      <c r="J9" s="22"/>
      <c r="K9" s="22"/>
      <c r="L9" s="22"/>
      <c r="M9" s="22"/>
      <c r="N9" s="22"/>
      <c r="O9" s="22"/>
      <c r="P9" s="22"/>
      <c r="Q9" s="22"/>
      <c r="R9" s="22"/>
      <c r="S9" s="22"/>
      <c r="T9" s="22"/>
      <c r="U9" s="22"/>
      <c r="V9" s="22"/>
      <c r="W9" s="22"/>
      <c r="X9" s="22"/>
      <c r="Y9" s="22"/>
      <c r="Z9" s="22"/>
    </row>
    <row r="10" spans="1:26" ht="14.25" customHeight="1" x14ac:dyDescent="0.3">
      <c r="A10" s="22"/>
      <c r="B10" s="22"/>
      <c r="C10" s="132" t="s">
        <v>214</v>
      </c>
      <c r="D10" s="271">
        <f ca="1">TODAY()</f>
        <v>46218</v>
      </c>
      <c r="E10" s="271"/>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2"/>
      <c r="C11" s="132" t="s">
        <v>215</v>
      </c>
      <c r="D11" s="270">
        <f>'Plan de pagos'!M7</f>
        <v>0</v>
      </c>
      <c r="E11" s="270"/>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
      <c r="C12" s="132" t="s">
        <v>216</v>
      </c>
      <c r="D12" s="272">
        <f>'Plan de pagos'!P13</f>
        <v>0</v>
      </c>
      <c r="E12" s="27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22"/>
      <c r="B14" s="260" t="s">
        <v>217</v>
      </c>
      <c r="C14" s="260"/>
      <c r="D14" s="260"/>
      <c r="E14" s="260"/>
      <c r="F14" s="260"/>
      <c r="G14" s="260"/>
      <c r="H14" s="260"/>
      <c r="I14" s="22"/>
      <c r="J14" s="22"/>
      <c r="K14" s="22"/>
      <c r="L14" s="22"/>
      <c r="M14" s="22"/>
      <c r="N14" s="22"/>
      <c r="O14" s="22"/>
      <c r="P14" s="22"/>
      <c r="Q14" s="22"/>
      <c r="R14" s="22"/>
      <c r="S14" s="22"/>
      <c r="T14" s="22"/>
      <c r="U14" s="22"/>
      <c r="V14" s="22"/>
      <c r="W14" s="22"/>
      <c r="X14" s="22"/>
      <c r="Y14" s="22"/>
      <c r="Z14" s="22"/>
    </row>
    <row r="15" spans="1:26" ht="14.25" customHeight="1" x14ac:dyDescent="0.3">
      <c r="A15" s="22"/>
      <c r="B15" s="22"/>
      <c r="C15" s="132" t="s">
        <v>218</v>
      </c>
      <c r="D15" s="148">
        <f>'Captura información'!D59</f>
        <v>0</v>
      </c>
      <c r="E15" s="273" t="str">
        <f>IF(NOT(ISNUMBER('Captura información'!D59)),"Sin dato",IF('Captura información'!D59&gt;=700,"VERDE - historial sano",IF('Captura información'!D59&gt;=500,"AMARILLO - revisar causa","ROJO - revisar a fondo")))</f>
        <v>Sin dato</v>
      </c>
      <c r="F15" s="273"/>
      <c r="G15" s="273"/>
      <c r="H15" s="273"/>
      <c r="I15" s="22"/>
      <c r="J15" s="22"/>
      <c r="K15" s="22"/>
      <c r="L15" s="22"/>
      <c r="M15" s="22"/>
      <c r="N15" s="22"/>
      <c r="O15" s="22"/>
      <c r="P15" s="22"/>
      <c r="Q15" s="22"/>
      <c r="R15" s="22"/>
      <c r="S15" s="22"/>
      <c r="T15" s="22"/>
      <c r="U15" s="22"/>
      <c r="V15" s="22"/>
      <c r="W15" s="22"/>
      <c r="X15" s="22"/>
      <c r="Y15" s="22"/>
      <c r="Z15" s="22"/>
    </row>
    <row r="16" spans="1:26" ht="14.25" customHeight="1" x14ac:dyDescent="0.3">
      <c r="A16" s="22"/>
      <c r="B16" s="22"/>
      <c r="C16" s="132" t="s">
        <v>219</v>
      </c>
      <c r="D16" s="148">
        <f>'Captura información'!D63</f>
        <v>0</v>
      </c>
      <c r="E16" s="273" t="str">
        <f>IFERROR(CHOOSE('Captura información'!D63+1,"No contesto","Riesgo mas alto","Riesgo muy alto","Riesgo alto","Riesgo medio","Riesgo bajo","Riesgo muy bajo","Riesgo mas bajo","No termino"),"")</f>
        <v>No contesto</v>
      </c>
      <c r="F16" s="273"/>
      <c r="G16" s="273"/>
      <c r="H16" s="273"/>
      <c r="I16" s="22"/>
      <c r="J16" s="22"/>
      <c r="K16" s="22"/>
      <c r="L16" s="22"/>
      <c r="M16" s="22"/>
      <c r="N16" s="22"/>
      <c r="O16" s="22"/>
      <c r="P16" s="22"/>
      <c r="Q16" s="22"/>
      <c r="R16" s="22"/>
      <c r="S16" s="22"/>
      <c r="T16" s="22"/>
      <c r="U16" s="22"/>
      <c r="V16" s="22"/>
      <c r="W16" s="22"/>
      <c r="X16" s="22"/>
      <c r="Y16" s="22"/>
      <c r="Z16" s="22"/>
    </row>
    <row r="17" spans="1:26" ht="14.25" customHeight="1"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60" t="s">
        <v>220</v>
      </c>
      <c r="C18" s="260"/>
      <c r="D18" s="260"/>
      <c r="E18" s="260"/>
      <c r="F18" s="260"/>
      <c r="G18" s="260"/>
      <c r="H18" s="260"/>
      <c r="I18" s="22"/>
      <c r="J18" s="22"/>
      <c r="K18" s="22"/>
      <c r="L18" s="22"/>
      <c r="M18" s="22"/>
      <c r="N18" s="22"/>
      <c r="O18" s="22"/>
      <c r="P18" s="22"/>
      <c r="Q18" s="22"/>
      <c r="R18" s="22"/>
      <c r="S18" s="22"/>
      <c r="T18" s="22"/>
      <c r="U18" s="22"/>
      <c r="V18" s="22"/>
      <c r="W18" s="22"/>
      <c r="X18" s="22"/>
      <c r="Y18" s="22"/>
      <c r="Z18" s="22"/>
    </row>
    <row r="19" spans="1:26" ht="14.25" customHeight="1" x14ac:dyDescent="0.3">
      <c r="A19" s="22"/>
      <c r="B19" s="149">
        <v>1</v>
      </c>
      <c r="C19" s="74" t="s">
        <v>221</v>
      </c>
      <c r="D19" s="274" t="str">
        <f>IF('Captura información'!D7&lt;&gt;"Vigente","SI","NO")</f>
        <v>NO</v>
      </c>
      <c r="E19" s="274"/>
      <c r="F19" s="259" t="s">
        <v>222</v>
      </c>
      <c r="G19" s="259"/>
      <c r="H19" s="259"/>
      <c r="I19" s="22"/>
      <c r="J19" s="22"/>
      <c r="K19" s="22"/>
      <c r="L19" s="22"/>
      <c r="M19" s="22"/>
      <c r="N19" s="22"/>
      <c r="O19" s="22"/>
      <c r="P19" s="22"/>
      <c r="Q19" s="22"/>
      <c r="R19" s="22"/>
      <c r="S19" s="22"/>
      <c r="T19" s="22"/>
      <c r="U19" s="22"/>
      <c r="V19" s="22"/>
      <c r="W19" s="22"/>
      <c r="X19" s="22"/>
      <c r="Y19" s="22"/>
      <c r="Z19" s="22"/>
    </row>
    <row r="20" spans="1:26" ht="14.25" customHeight="1" x14ac:dyDescent="0.3">
      <c r="A20" s="22"/>
      <c r="B20" s="149">
        <v>2</v>
      </c>
      <c r="C20" s="74" t="s">
        <v>223</v>
      </c>
      <c r="D20" s="274" t="str">
        <f>IF('Captura información'!D8&gt;=5,"SI","NO")</f>
        <v>NO</v>
      </c>
      <c r="E20" s="274"/>
      <c r="F20" s="259" t="s">
        <v>224</v>
      </c>
      <c r="G20" s="259"/>
      <c r="H20" s="259"/>
      <c r="I20" s="22"/>
      <c r="J20" s="22"/>
      <c r="K20" s="22"/>
      <c r="L20" s="22"/>
      <c r="M20" s="22"/>
      <c r="N20" s="22"/>
      <c r="O20" s="22"/>
      <c r="P20" s="22"/>
      <c r="Q20" s="22"/>
      <c r="R20" s="22"/>
      <c r="S20" s="22"/>
      <c r="T20" s="22"/>
      <c r="U20" s="22"/>
      <c r="V20" s="22"/>
      <c r="W20" s="22"/>
      <c r="X20" s="22"/>
      <c r="Y20" s="22"/>
      <c r="Z20" s="22"/>
    </row>
    <row r="21" spans="1:26" ht="14.25" customHeight="1" x14ac:dyDescent="0.3">
      <c r="A21" s="22"/>
      <c r="B21" s="149">
        <v>3</v>
      </c>
      <c r="C21" s="74" t="s">
        <v>225</v>
      </c>
      <c r="D21" s="136" t="str">
        <f>IF(OR(E21="SI",'Captura información'!$H$21="SI"),"SI","NO")</f>
        <v>NO</v>
      </c>
      <c r="E21" s="26" t="s">
        <v>226</v>
      </c>
      <c r="F21" s="259" t="s">
        <v>227</v>
      </c>
      <c r="G21" s="259"/>
      <c r="H21" s="259"/>
      <c r="I21" s="22"/>
      <c r="J21" s="22"/>
      <c r="K21" s="22"/>
      <c r="L21" s="22"/>
      <c r="M21" s="22"/>
      <c r="N21" s="22"/>
      <c r="O21" s="22"/>
      <c r="P21" s="22"/>
      <c r="Q21" s="22"/>
      <c r="R21" s="22"/>
      <c r="S21" s="22"/>
      <c r="T21" s="22"/>
      <c r="U21" s="22"/>
      <c r="V21" s="22"/>
      <c r="W21" s="22"/>
      <c r="X21" s="22"/>
      <c r="Y21" s="22"/>
      <c r="Z21" s="22"/>
    </row>
    <row r="22" spans="1:26" ht="14.25" customHeight="1" x14ac:dyDescent="0.3">
      <c r="A22" s="22"/>
      <c r="B22" s="149">
        <v>4</v>
      </c>
      <c r="C22" s="74" t="s">
        <v>228</v>
      </c>
      <c r="D22" s="274" t="str">
        <f>IF('Captura información'!$H$22="SI","SI","NO")</f>
        <v>NO</v>
      </c>
      <c r="E22" s="274"/>
      <c r="F22" s="259" t="s">
        <v>229</v>
      </c>
      <c r="G22" s="259"/>
      <c r="H22" s="259"/>
      <c r="I22" s="22"/>
      <c r="J22" s="22"/>
      <c r="K22" s="22"/>
      <c r="L22" s="22"/>
      <c r="M22" s="22"/>
      <c r="N22" s="22"/>
      <c r="O22" s="22"/>
      <c r="P22" s="22"/>
      <c r="Q22" s="22"/>
      <c r="R22" s="22"/>
      <c r="S22" s="22"/>
      <c r="T22" s="22"/>
      <c r="U22" s="22"/>
      <c r="V22" s="22"/>
      <c r="W22" s="22"/>
      <c r="X22" s="22"/>
      <c r="Y22" s="22"/>
      <c r="Z22" s="22"/>
    </row>
    <row r="23" spans="1:26" ht="14.25" customHeight="1" x14ac:dyDescent="0.3">
      <c r="A23" s="22"/>
      <c r="B23" s="149">
        <v>5</v>
      </c>
      <c r="C23" s="74" t="s">
        <v>230</v>
      </c>
      <c r="D23" s="9" t="s">
        <v>226</v>
      </c>
      <c r="E23" s="9"/>
      <c r="F23" s="259" t="s">
        <v>231</v>
      </c>
      <c r="G23" s="259"/>
      <c r="H23" s="259"/>
      <c r="I23" s="22"/>
      <c r="J23" s="22"/>
      <c r="K23" s="22"/>
      <c r="L23" s="22"/>
      <c r="M23" s="22"/>
      <c r="N23" s="22"/>
      <c r="O23" s="22"/>
      <c r="P23" s="22"/>
      <c r="Q23" s="22"/>
      <c r="R23" s="22"/>
      <c r="S23" s="22"/>
      <c r="T23" s="22"/>
      <c r="U23" s="22"/>
      <c r="V23" s="22"/>
      <c r="W23" s="22"/>
      <c r="X23" s="22"/>
      <c r="Y23" s="22"/>
      <c r="Z23" s="22"/>
    </row>
    <row r="24" spans="1:26" ht="14.25" customHeight="1" x14ac:dyDescent="0.3">
      <c r="A24" s="22"/>
      <c r="B24" s="149">
        <v>6</v>
      </c>
      <c r="C24" s="74" t="s">
        <v>232</v>
      </c>
      <c r="D24" s="9" t="s">
        <v>226</v>
      </c>
      <c r="E24" s="9"/>
      <c r="F24" s="259" t="s">
        <v>233</v>
      </c>
      <c r="G24" s="259"/>
      <c r="H24" s="259"/>
      <c r="I24" s="22"/>
      <c r="J24" s="22"/>
      <c r="K24" s="22"/>
      <c r="L24" s="22"/>
      <c r="M24" s="22"/>
      <c r="N24" s="22"/>
      <c r="O24" s="22"/>
      <c r="P24" s="22"/>
      <c r="Q24" s="22"/>
      <c r="R24" s="22"/>
      <c r="S24" s="22"/>
      <c r="T24" s="22"/>
      <c r="U24" s="22"/>
      <c r="V24" s="22"/>
      <c r="W24" s="22"/>
      <c r="X24" s="22"/>
      <c r="Y24" s="22"/>
      <c r="Z24" s="22"/>
    </row>
    <row r="25" spans="1:26" ht="14.25" customHeight="1" x14ac:dyDescent="0.3">
      <c r="A25" s="22"/>
      <c r="B25" s="149" t="s">
        <v>234</v>
      </c>
      <c r="C25" s="74" t="s">
        <v>235</v>
      </c>
      <c r="D25" s="9" t="s">
        <v>226</v>
      </c>
      <c r="E25" s="9"/>
      <c r="F25" s="259" t="s">
        <v>236</v>
      </c>
      <c r="G25" s="259"/>
      <c r="H25" s="259"/>
      <c r="I25" s="22"/>
      <c r="J25" s="22"/>
      <c r="K25" s="22"/>
      <c r="L25" s="22"/>
      <c r="M25" s="22"/>
      <c r="N25" s="22"/>
      <c r="O25" s="22"/>
      <c r="P25" s="22"/>
      <c r="Q25" s="22"/>
      <c r="R25" s="22"/>
      <c r="S25" s="22"/>
      <c r="T25" s="22"/>
      <c r="U25" s="22"/>
      <c r="V25" s="22"/>
      <c r="W25" s="22"/>
      <c r="X25" s="22"/>
      <c r="Y25" s="22"/>
      <c r="Z25" s="22"/>
    </row>
    <row r="26" spans="1:26" ht="14.25" customHeight="1" x14ac:dyDescent="0.3">
      <c r="A26" s="22"/>
      <c r="B26" s="149" t="s">
        <v>234</v>
      </c>
      <c r="C26" s="74" t="s">
        <v>237</v>
      </c>
      <c r="D26" s="9" t="s">
        <v>226</v>
      </c>
      <c r="E26" s="9"/>
      <c r="F26" s="259" t="s">
        <v>238</v>
      </c>
      <c r="G26" s="259"/>
      <c r="H26" s="259"/>
      <c r="I26" s="22"/>
      <c r="J26" s="22"/>
      <c r="K26" s="22"/>
      <c r="L26" s="22"/>
      <c r="M26" s="22"/>
      <c r="N26" s="22"/>
      <c r="O26" s="22"/>
      <c r="P26" s="22"/>
      <c r="Q26" s="22"/>
      <c r="R26" s="22"/>
      <c r="S26" s="22"/>
      <c r="T26" s="22"/>
      <c r="U26" s="22"/>
      <c r="V26" s="22"/>
      <c r="W26" s="22"/>
      <c r="X26" s="22"/>
      <c r="Y26" s="22"/>
      <c r="Z26" s="22"/>
    </row>
    <row r="27" spans="1:26" ht="14.25" customHeight="1" x14ac:dyDescent="0.3">
      <c r="A27" s="22"/>
      <c r="B27" s="149" t="s">
        <v>234</v>
      </c>
      <c r="C27" s="74" t="s">
        <v>239</v>
      </c>
      <c r="D27" s="274" t="str">
        <f>IF('Flujo credito'!D52="NO","SI","NO")</f>
        <v>NO</v>
      </c>
      <c r="E27" s="274"/>
      <c r="F27" s="259" t="s">
        <v>240</v>
      </c>
      <c r="G27" s="259"/>
      <c r="H27" s="259"/>
      <c r="I27" s="22"/>
      <c r="J27" s="22"/>
      <c r="K27" s="22"/>
      <c r="L27" s="22"/>
      <c r="M27" s="22"/>
      <c r="N27" s="22"/>
      <c r="O27" s="22"/>
      <c r="P27" s="22"/>
      <c r="Q27" s="22"/>
      <c r="R27" s="22"/>
      <c r="S27" s="22"/>
      <c r="T27" s="22"/>
      <c r="U27" s="22"/>
      <c r="V27" s="22"/>
      <c r="W27" s="22"/>
      <c r="X27" s="22"/>
      <c r="Y27" s="22"/>
      <c r="Z27" s="22"/>
    </row>
    <row r="28" spans="1:26" ht="14.25" customHeight="1" x14ac:dyDescent="0.3">
      <c r="A28" s="22"/>
      <c r="B28" s="149" t="s">
        <v>234</v>
      </c>
      <c r="C28" s="74" t="s">
        <v>241</v>
      </c>
      <c r="D28" s="274" t="str">
        <f>IF('Captura información'!D37&gt;Reglas!$B$25,"SI","NO")</f>
        <v>NO</v>
      </c>
      <c r="E28" s="274"/>
      <c r="F28" s="259" t="s">
        <v>242</v>
      </c>
      <c r="G28" s="259"/>
      <c r="H28" s="259"/>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87" t="s">
        <v>243</v>
      </c>
      <c r="D29" s="273" t="str">
        <f>IF(OR(D19="SI",D20="SI",D21="SI",D22="SI",D23="SI",D24="SI"),"RECHAZO AUTOMATICO (rechazo tecnico duro)",IF(OR(OR(D25="SI",D26="SI",AND(D27="SI",Reglas!$B$20="COMITE")),D28="SI",D27="SI"),"HAY ALERTAS - revisar abajo","Primer filtro SUPERADO: continue con el puntaje"))</f>
        <v>Primer filtro SUPERADO: continue con el puntaje</v>
      </c>
      <c r="E29" s="273"/>
      <c r="F29" s="273"/>
      <c r="G29" s="273"/>
      <c r="H29" s="273"/>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60" t="s">
        <v>244</v>
      </c>
      <c r="C31" s="260"/>
      <c r="D31" s="260"/>
      <c r="E31" s="260"/>
      <c r="F31" s="260"/>
      <c r="G31" s="260"/>
      <c r="H31" s="260"/>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75" t="s">
        <v>245</v>
      </c>
      <c r="D32" s="275"/>
      <c r="E32" s="275"/>
      <c r="F32" s="275"/>
      <c r="G32" s="275"/>
      <c r="H32" s="275"/>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150" t="s">
        <v>246</v>
      </c>
      <c r="D33" s="150" t="s">
        <v>247</v>
      </c>
      <c r="E33" s="150" t="s">
        <v>248</v>
      </c>
      <c r="F33" s="150" t="s">
        <v>249</v>
      </c>
      <c r="G33" s="150" t="s">
        <v>250</v>
      </c>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74" t="s">
        <v>251</v>
      </c>
      <c r="D34" s="151" t="str">
        <f>IF(ISNUMBER('Captura información'!D31),IF('Captura información'!D31&lt;0.5,"Bajo: usa menos del 50% del cupo",IF('Captura información'!D31&lt;0.8,"Medio: usa 50-80% del cupo",IF('Captura información'!D31&lt;0.9,"Alto: usa 80-90% del cupo","Muy alto: usa mas del 90% del cupo"))),"")</f>
        <v/>
      </c>
      <c r="E34" s="152"/>
      <c r="F34" s="136" t="str">
        <f>IFERROR(VLOOKUP(IF(E34&lt;&gt;"",E34,D34),Listas!$A$2:$B$5,2,0),"")</f>
        <v/>
      </c>
      <c r="G34" s="153">
        <v>10</v>
      </c>
      <c r="H34" s="22"/>
      <c r="I34" s="22"/>
      <c r="J34" s="22"/>
      <c r="K34" s="22"/>
      <c r="L34" s="22"/>
      <c r="M34" s="22"/>
      <c r="N34" s="22"/>
      <c r="O34" s="22"/>
      <c r="P34" s="22"/>
      <c r="Q34" s="22"/>
      <c r="R34" s="22"/>
      <c r="S34" s="22"/>
      <c r="T34" s="22"/>
      <c r="U34" s="22"/>
      <c r="V34" s="22"/>
      <c r="W34" s="22"/>
      <c r="X34" s="22"/>
      <c r="Y34" s="22"/>
      <c r="Z34" s="22"/>
    </row>
    <row r="35" spans="1:26" ht="20.25" customHeight="1" x14ac:dyDescent="0.3">
      <c r="A35" s="22"/>
      <c r="B35" s="22"/>
      <c r="C35" s="74" t="s">
        <v>252</v>
      </c>
      <c r="D35" s="151" t="str">
        <f>IF(ISNUMBER('Flujo credito'!E49),IF('Flujo credito'!E49&lt;=0.2,"Comoda: cuota nueva &lt;= 20% de lo que ya paga",IF('Flujo credito'!E49&lt;=0.35,"Aceptable: 20-35%",IF('Flujo credito'!E49&lt;=0.5,"Ajustada: 35-50%","Riesgosa: mas de 50% o hay mora"))),"")</f>
        <v>Comoda: cuota nueva &lt;= 20% de lo que ya paga</v>
      </c>
      <c r="E35" s="152"/>
      <c r="F35" s="136">
        <f>IFERROR(VLOOKUP(IF(E35&lt;&gt;"",E35,D35),Listas!$A$7:$B$10,2,0),"")</f>
        <v>10</v>
      </c>
      <c r="G35" s="153">
        <v>10</v>
      </c>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74" t="s">
        <v>253</v>
      </c>
      <c r="D36" s="151" t="str">
        <f>IF(ISNUMBER('Captura información'!D13),IF('Captura información'!D13&lt;=0,"Sano: $0 en mora",IF('Captura información'!D13&lt;=100000,"Leve: $1 a $100.000",IF('Captura información'!D13&lt;=500000,"Medio: $100.000 a $500.000","Grave: mas de $500.000"))),"")</f>
        <v>Sano: $0 en mora</v>
      </c>
      <c r="E36" s="152"/>
      <c r="F36" s="136">
        <f>IFERROR(VLOOKUP(IF(E36&lt;&gt;"",E36,D36),Listas!$A$12:$B$15,2,0),"")</f>
        <v>6</v>
      </c>
      <c r="G36" s="153">
        <v>6</v>
      </c>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74" t="s">
        <v>254</v>
      </c>
      <c r="D37" s="151" t="str">
        <f>IF(ISNUMBER('Captura información'!D9),IF('Captura información'!D9&lt;=5,"1 a 5 creditos",IF('Captura información'!D9&lt;=8,"6 a 8 creditos",IF('Captura información'!D9&lt;=12,"9 a 12 creditos","Mas de 12 creditos"))),"")</f>
        <v>1 a 5 creditos</v>
      </c>
      <c r="E37" s="152"/>
      <c r="F37" s="136">
        <f>IFERROR(VLOOKUP(IF(E37&lt;&gt;"",E37,D37),Listas!$A$17:$B$20,2,0),"")</f>
        <v>5</v>
      </c>
      <c r="G37" s="153">
        <v>5</v>
      </c>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154" t="s">
        <v>255</v>
      </c>
      <c r="D38" s="155" t="str">
        <f>IF('Captura información'!D35="","Sin tarjetas de credito",IF('Captura información'!D35&lt;0.3,"TDC bajo: usa menos del 30% del cupo",IF('Captura información'!D35&lt;0.6,"TDC medio: 30-60%",IF('Captura información'!D35&lt;0.9,"TDC alto: 60-90%","TDC al tope: mas del 90% (sin opciones)"))))</f>
        <v>Sin tarjetas de credito</v>
      </c>
      <c r="E38" s="156"/>
      <c r="F38" s="136">
        <f>IFERROR(VLOOKUP(IF(E38&lt;&gt;"",E38,D38),Listas!$A$129:$B$133,2,0),"")</f>
        <v>3</v>
      </c>
      <c r="G38" s="157">
        <v>5</v>
      </c>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150" t="s">
        <v>256</v>
      </c>
      <c r="D39" s="22"/>
      <c r="E39" s="22"/>
      <c r="F39" s="158">
        <f>IFERROR(SUM(F34:F38),0)</f>
        <v>24</v>
      </c>
      <c r="G39" s="158">
        <f>SUM(G34:G38)</f>
        <v>36</v>
      </c>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75" t="s">
        <v>257</v>
      </c>
      <c r="D40" s="275"/>
      <c r="E40" s="275"/>
      <c r="F40" s="275"/>
      <c r="G40" s="275"/>
      <c r="H40" s="275"/>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150" t="s">
        <v>246</v>
      </c>
      <c r="D41" s="150" t="s">
        <v>247</v>
      </c>
      <c r="E41" s="150" t="s">
        <v>248</v>
      </c>
      <c r="F41" s="150" t="s">
        <v>249</v>
      </c>
      <c r="G41" s="150" t="s">
        <v>250</v>
      </c>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74" t="s">
        <v>258</v>
      </c>
      <c r="D42" s="151" t="str">
        <f>IF('Captura información'!D47="N","Excelente: todo N (sin mora)",IF('Captura información'!D47="1","Bueno: maximo un 1 (30 dias) aislado",IF('Captura información'!D47="2","Regular: dos 1 o un 2 (60 dias)",IF(OR('Captura información'!D47="3",'Captura información'!D47="4"),"Malo: un 3 o 4 (90-120 dias)",IF(OR('Captura información'!D47="C",'Captura información'!D47="D"),"Critico: aparece D (dudoso) o C (castigada)","")))))</f>
        <v/>
      </c>
      <c r="E42" s="152"/>
      <c r="F42" s="136" t="str">
        <f>IFERROR(VLOOKUP(IF(E42&lt;&gt;"",E42,D42),Listas!$A$22:$B$26,2,0),"")</f>
        <v/>
      </c>
      <c r="G42" s="153">
        <v>15</v>
      </c>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74" t="s">
        <v>259</v>
      </c>
      <c r="D43" s="151">
        <f>'Captura información'!D42</f>
        <v>0</v>
      </c>
      <c r="E43" s="152"/>
      <c r="F43" s="136" t="str">
        <f>IFERROR(VLOOKUP(IF(E43&lt;&gt;"",E43,D43),Listas!$A$28:$B$31,2,0),"")</f>
        <v/>
      </c>
      <c r="G43" s="153">
        <v>10</v>
      </c>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74" t="s">
        <v>260</v>
      </c>
      <c r="D44" s="151">
        <f>'Captura información'!D46</f>
        <v>0</v>
      </c>
      <c r="E44" s="152"/>
      <c r="F44" s="136" t="str">
        <f>IFERROR(VLOOKUP(IF(E44&lt;&gt;"",E44,D44),Listas!$A$33:$B$37,2,0),"")</f>
        <v/>
      </c>
      <c r="G44" s="153">
        <v>8</v>
      </c>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22"/>
      <c r="C45" s="74" t="s">
        <v>261</v>
      </c>
      <c r="D45" s="151">
        <f>'Captura información'!D49</f>
        <v>0</v>
      </c>
      <c r="E45" s="152"/>
      <c r="F45" s="136" t="str">
        <f>IFERROR(VLOOKUP(IF(E45&lt;&gt;"",E45,D45),Listas!$A$39:$B$42,2,0),"")</f>
        <v/>
      </c>
      <c r="G45" s="153">
        <v>6</v>
      </c>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74" t="s">
        <v>262</v>
      </c>
      <c r="D46" s="151" t="str">
        <f>IF('Captura información'!D38="N","Todo N (nunca en mora)",IF('Captura información'!D38="1","Llego a 1 (30 dias)",IF('Captura información'!D38="2","Llego a 2 (60 dias)",IF(OR('Captura información'!D38="3",'Captura información'!D38="4"),"Llego a 3 o 4 (90-120 dias)",IF(OR('Captura información'!D38="C",'Captura información'!D38="D"),"Llego a C o D","")))))</f>
        <v/>
      </c>
      <c r="E46" s="152"/>
      <c r="F46" s="136" t="str">
        <f>IFERROR(VLOOKUP(IF(E46&lt;&gt;"",E46,D46),Listas!$A$44:$B$48,2,0),"")</f>
        <v/>
      </c>
      <c r="G46" s="153">
        <v>4</v>
      </c>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74" t="s">
        <v>263</v>
      </c>
      <c r="D47" s="151">
        <f>'Captura información'!D39</f>
        <v>0</v>
      </c>
      <c r="E47" s="152"/>
      <c r="F47" s="136" t="str">
        <f>IFERROR(VLOOKUP(IF(E47&lt;&gt;"",E47,D47),Listas!$A$50:$B$53,2,0),"")</f>
        <v/>
      </c>
      <c r="G47" s="153">
        <v>4</v>
      </c>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74" t="s">
        <v>264</v>
      </c>
      <c r="D48" s="151" t="str">
        <f>IF('Captura información'!D36="A","Todas A",IF('Captura información'!D36="AB","Mezcla A y B",IF('Captura información'!D36="C","Hay C, o sin Calf",IF('Captura información'!D36="DE","Hay D o E",""))))</f>
        <v/>
      </c>
      <c r="E48" s="152"/>
      <c r="F48" s="136" t="str">
        <f>IFERROR(VLOOKUP(IF(E48&lt;&gt;"",E48,D48),Listas!$A$55:$B$58,2,0),"")</f>
        <v/>
      </c>
      <c r="G48" s="153">
        <v>2</v>
      </c>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74" t="s">
        <v>265</v>
      </c>
      <c r="D49" s="151" t="str">
        <f ca="1">IF(ISNUMBER('Captura información'!D30),IF('Captura información'!D30&gt;5,"Mas de 5 anos",IF('Captura información'!D30&gt;=2,"2 a 5 anos",IF('Captura información'!D30&gt;=1,"1 a 2 anos","Menos de 1 ano"))),"")</f>
        <v>Mas de 5 anos</v>
      </c>
      <c r="E49" s="152"/>
      <c r="F49" s="136">
        <f ca="1">IFERROR(VLOOKUP(IF(E49&lt;&gt;"",E49,D49),Listas!$A$60:$B$63,2,0),"")</f>
        <v>6</v>
      </c>
      <c r="G49" s="153">
        <v>6</v>
      </c>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150" t="s">
        <v>266</v>
      </c>
      <c r="D50" s="22"/>
      <c r="E50" s="22"/>
      <c r="F50" s="159">
        <f ca="1">IFERROR(SUM(F42:F49),0)</f>
        <v>6</v>
      </c>
      <c r="G50" s="159">
        <f>SUM(G42:G49)</f>
        <v>55</v>
      </c>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75" t="s">
        <v>267</v>
      </c>
      <c r="D52" s="275"/>
      <c r="E52" s="275"/>
      <c r="F52" s="275"/>
      <c r="G52" s="275"/>
      <c r="H52" s="275"/>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150" t="s">
        <v>246</v>
      </c>
      <c r="D53" s="150" t="s">
        <v>247</v>
      </c>
      <c r="E53" s="150" t="s">
        <v>248</v>
      </c>
      <c r="F53" s="150" t="s">
        <v>249</v>
      </c>
      <c r="G53" s="150" t="s">
        <v>250</v>
      </c>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74" t="s">
        <v>268</v>
      </c>
      <c r="D54" s="151" t="str">
        <f>IF('Flujo credito'!E46&gt;='Flujo credito'!E39,"Positivo y cubre el colchon de imprevistos",IF('Flujo credito'!E46&gt;0,"Positivo pero ajustado (no cubre colchon)",IF('Flujo credito'!E46&gt;=-100000,"Queda en cero o negativo leve","Negativo")))</f>
        <v>Queda en cero o negativo leve</v>
      </c>
      <c r="E54" s="152"/>
      <c r="F54" s="136">
        <f>IFERROR(VLOOKUP(IF(E54&lt;&gt;"",E54,D54),Listas!$A$65:$B$68,2,0),"")</f>
        <v>2</v>
      </c>
      <c r="G54" s="153">
        <v>8</v>
      </c>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74" t="s">
        <v>269</v>
      </c>
      <c r="D55" s="151" t="str">
        <f>IF(ISNUMBER('Flujo credito'!E43),IF('Flujo credito'!E43&lt;0.2,"Liviana: menos de 20%",IF('Flujo credito'!E43&lt;=0.3,"Bien: 20-30%",IF('Flujo credito'!E43&lt;=0.4,"Pesada: 30-40%","Excesiva: mas de 40%"))),"")</f>
        <v/>
      </c>
      <c r="E55" s="152"/>
      <c r="F55" s="136" t="str">
        <f>IFERROR(VLOOKUP(IF(E55&lt;&gt;"",E55,D55),Listas!$A$70:$B$73,2,0),"")</f>
        <v/>
      </c>
      <c r="G55" s="153">
        <v>6</v>
      </c>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74" t="s">
        <v>270</v>
      </c>
      <c r="D56" s="151" t="str">
        <f>IF(ISNUMBER('Flujo credito'!E47),IF('Flujo credito'!E47&lt;0.5,"Menos de 50%",IF('Flujo credito'!E47&lt;=0.8,"50-80%",IF('Flujo credito'!E47&lt;=1,"80-100%","Mas de 100%"))),"")</f>
        <v>Menos de 50%</v>
      </c>
      <c r="E56" s="152"/>
      <c r="F56" s="136">
        <f>IFERROR(VLOOKUP(IF(E56&lt;&gt;"",E56,D56),Listas!$A$75:$B$78,2,0),"")</f>
        <v>3</v>
      </c>
      <c r="G56" s="153">
        <v>3</v>
      </c>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74" t="s">
        <v>271</v>
      </c>
      <c r="D57" s="151" t="str">
        <f>IF(ISNUMBER('Flujo credito'!E48),IF('Flujo credito'!E48&lt;=1,"Coherente: declarado &lt;= QUANTO",IF('Flujo credito'!E48&lt;=1.5,"Aceptable: hasta 1.5x el QUANTO",IF('Flujo credito'!E48&lt;=3,"Revisar: 1.5x a 3x el QUANTO","Alerta: mas de 3x el QUANTO"))),"")</f>
        <v>Coherente: declarado &lt;= QUANTO</v>
      </c>
      <c r="E57" s="152"/>
      <c r="F57" s="136">
        <f>IFERROR(VLOOKUP(IF(E57&lt;&gt;"",E57,D57),Listas!$A$80:$B$83,2,0),"")</f>
        <v>3</v>
      </c>
      <c r="G57" s="153">
        <v>3</v>
      </c>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150" t="s">
        <v>272</v>
      </c>
      <c r="D58" s="22"/>
      <c r="E58" s="22"/>
      <c r="F58" s="159">
        <f>IFERROR(SUM(F54:F57),0)</f>
        <v>8</v>
      </c>
      <c r="G58" s="159">
        <f>SUM(G54:G57)</f>
        <v>20</v>
      </c>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75" t="s">
        <v>273</v>
      </c>
      <c r="D60" s="275"/>
      <c r="E60" s="275"/>
      <c r="F60" s="275"/>
      <c r="G60" s="275"/>
      <c r="H60" s="275"/>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150" t="s">
        <v>246</v>
      </c>
      <c r="D61" s="150" t="s">
        <v>247</v>
      </c>
      <c r="E61" s="150" t="s">
        <v>248</v>
      </c>
      <c r="F61" s="150" t="s">
        <v>249</v>
      </c>
      <c r="G61" s="150" t="s">
        <v>250</v>
      </c>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74" t="s">
        <v>274</v>
      </c>
      <c r="D62" s="151" t="str">
        <f>IF('Captura información'!D8&lt;&gt;1,"No es Tipo 1 (Tipo 5/6/7)",IF('Captura información'!D54&lt;=1,"Tipo 1 + maximo 1 correo nuevo",IF('Captura información'!D54&lt;=3,"Tipo 1 + 2 a 3 correos nuevos","Tipo 1 + 4 o mas correos nuevos")))</f>
        <v>No es Tipo 1 (Tipo 5/6/7)</v>
      </c>
      <c r="E62" s="152"/>
      <c r="F62" s="136">
        <f>IFERROR(VLOOKUP(IF(E62&lt;&gt;"",E62,D62),Listas!$A$85:$B$88,2,0),"")</f>
        <v>0</v>
      </c>
      <c r="G62" s="153">
        <v>3</v>
      </c>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74" t="s">
        <v>275</v>
      </c>
      <c r="D63" s="151" t="str">
        <f>IF(ISNUMBER('Captura información'!D53),IF('Captura información'!D53&lt;=1,"1 solo departamento (muy estable)",IF('Captura información'!D53=2,"2 departamentos",IF('Captura información'!D53=3,"3 departamentos","4 o mas departamentos"))),"")</f>
        <v/>
      </c>
      <c r="E63" s="152"/>
      <c r="F63" s="136" t="str">
        <f>IFERROR(VLOOKUP(IF(E63&lt;&gt;"",E63,D63),Listas!$A$90:$B$93,2,0),"")</f>
        <v/>
      </c>
      <c r="G63" s="153">
        <v>5</v>
      </c>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74" t="s">
        <v>276</v>
      </c>
      <c r="D64" s="151" t="str">
        <f>IF(ISNUMBER('Captura información'!D43),IF('Captura información'!D43&gt;=1,"1 o mas cuentas activas con MAS de 1 año","Ninguna cuenta activa con mas de 1 año (solo recientes)"),"")</f>
        <v/>
      </c>
      <c r="E64" s="152"/>
      <c r="F64" s="136" t="str">
        <f>IFERROR(VLOOKUP(IF(E64&lt;&gt;"",E64,D64),Listas!$A$95:$B$98,2,0),"")</f>
        <v/>
      </c>
      <c r="G64" s="153">
        <v>5</v>
      </c>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74" t="s">
        <v>277</v>
      </c>
      <c r="D65" s="151" t="str">
        <f ca="1">IF(OR('Captura información'!D26="SI",AND(ISNUMBER('Captura información'!D56),'Captura información'!D56&gt;3)),"Tiene RUT/empleador, o contacto &gt; 3 anos",IF(AND(ISNUMBER('Captura información'!D56),'Captura información'!D56&gt;=1),"Contacto principal de 1 a 3 anos","Sin contacto estable / menos de 1 ano"))</f>
        <v>Sin contacto estable / menos de 1 ano</v>
      </c>
      <c r="E65" s="152"/>
      <c r="F65" s="136">
        <f ca="1">IFERROR(VLOOKUP(IF(E65&lt;&gt;"",E65,D65),Listas!$A$100:$B$102,2,0),"")</f>
        <v>1</v>
      </c>
      <c r="G65" s="153">
        <v>4</v>
      </c>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74" t="s">
        <v>278</v>
      </c>
      <c r="D66" s="151" t="str">
        <f>IF(ISNUMBER('Captura información'!D51),IF('Captura información'!D51&lt;=2,"0 a 2 entidades en 30 dias",IF('Captura información'!D51&lt;=4,"3 a 4 entidades",IF('Captura información'!D51&lt;=7,"5 a 7 entidades",IF('Captura información'!D51&lt;=10,"8 a 10 entidades","Mas de 10 entidades")))),"")</f>
        <v/>
      </c>
      <c r="E66" s="152"/>
      <c r="F66" s="136" t="str">
        <f>IFERROR(VLOOKUP(IF(E66&lt;&gt;"",E66,D66),Listas!$A$104:$B$108,2,0),"")</f>
        <v/>
      </c>
      <c r="G66" s="153">
        <v>5</v>
      </c>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150" t="s">
        <v>279</v>
      </c>
      <c r="D67" s="22"/>
      <c r="E67" s="22"/>
      <c r="F67" s="159">
        <f ca="1">IFERROR(SUM(F62:F66),0)</f>
        <v>1</v>
      </c>
      <c r="G67" s="159">
        <f>SUM(G62:G66)</f>
        <v>22</v>
      </c>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60" t="s">
        <v>280</v>
      </c>
      <c r="C69" s="260"/>
      <c r="D69" s="260"/>
      <c r="E69" s="260"/>
      <c r="F69" s="260"/>
      <c r="G69" s="260"/>
      <c r="H69" s="260"/>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132" t="s">
        <v>281</v>
      </c>
      <c r="D70" s="160">
        <f ca="1">IF(OR(D19="SI",D20="SI",D21="SI",D22="SI",D23="SI",D24="SI"),0,IFERROR((IF(G39=0,0,F39/G39)*Reglas!$B$4+(IF('Captura información'!$H$20="SI",IFERROR(VLOOKUP('Captura información'!$D$48,Listas!$A$135:$B$138,2,0),0)/8,IF(G50=0,0,F50/G50)))*(IF('Captura información'!$H$20="SI",Reglas!$B$38,Reglas!$B$5))+IF(G58=0,0,F58/G58)*Reglas!$B$6+IF(G67=0,0,F67/G67)*Reglas!$B$7)/(Reglas!$B$4+IF('Captura información'!$H$20="SI",Reglas!$B$38,Reglas!$B$5)+Reglas!$B$6+Reglas!$B$7)*100,0))</f>
        <v>35.950413223140501</v>
      </c>
      <c r="E70" s="276" t="str">
        <f>"Suma de pesos = "&amp;(Reglas!$B$4+Reglas!$B$5+Reglas!$B$6+Reglas!$B$7)&amp;" -&gt; se normaliza a 100"</f>
        <v>Suma de pesos = 88 -&gt; se normaliza a 100</v>
      </c>
      <c r="F70" s="276"/>
      <c r="G70" s="276"/>
      <c r="H70" s="276"/>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132" t="s">
        <v>282</v>
      </c>
      <c r="D71" s="136">
        <f>IF(OR(D19="SI",D20="SI",D21="SI",D22="SI",D23="SI",D24="SI"),0,IFERROR(VLOOKUP('Captura información'!D63,Listas!$A$111:$B$119,2,0),0))</f>
        <v>0</v>
      </c>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132" t="s">
        <v>283</v>
      </c>
      <c r="D72" s="136">
        <f>IF(OR(D19="SI",D20="SI",D21="SI",D22="SI",D23="SI",D24="SI"),0,IFERROR(VLOOKUP('Captura información'!D64,Listas!$A$121:$B$124,2,0),0))</f>
        <v>0</v>
      </c>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132" t="s">
        <v>284</v>
      </c>
      <c r="D73" s="136">
        <f>IF(OR(D19="SI",D20="SI",D21="SI",D22="SI",D23="SI",D24="SI"),0,IFERROR(VLOOKUP('Captura información'!D65,Listas!$A$126:$B$127,2,0),0))</f>
        <v>0</v>
      </c>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132" t="s">
        <v>285</v>
      </c>
      <c r="D74" s="136">
        <f>IF(OR(D19="SI",D20="SI",D21="SI",D22="SI",D23="SI",D24="SI"),0,IF('Captura información'!D61&gt;=1000000,3,IF('Captura información'!D61&gt;=500000,2,IF('Captura información'!D61&gt;=200000,1,0))))</f>
        <v>0</v>
      </c>
      <c r="E74" s="22"/>
      <c r="F74" s="22"/>
      <c r="G74" s="22"/>
      <c r="H74" s="22"/>
      <c r="I74" s="22"/>
      <c r="J74" s="22"/>
      <c r="K74" s="22"/>
      <c r="L74" s="22"/>
      <c r="M74" s="22"/>
      <c r="N74" s="22"/>
      <c r="O74" s="22"/>
      <c r="P74" s="22"/>
      <c r="Q74" s="22"/>
      <c r="R74" s="22"/>
      <c r="S74" s="22"/>
      <c r="T74" s="22"/>
      <c r="U74" s="22"/>
      <c r="V74" s="22"/>
      <c r="W74" s="22"/>
      <c r="X74" s="22"/>
      <c r="Y74" s="22"/>
      <c r="Z74" s="22"/>
    </row>
    <row r="75" spans="1:26" ht="18" customHeight="1" x14ac:dyDescent="0.3">
      <c r="A75" s="22"/>
      <c r="B75" s="22"/>
      <c r="C75" s="161" t="s">
        <v>286</v>
      </c>
      <c r="D75" s="162">
        <f ca="1">IF(OR(D19="SI",D20="SI",D21="SI",D22="SI",D23="SI",D24="SI"),0,MEDIAN(0,D70+D71+D72+D73+D74,100))</f>
        <v>35.950413223140501</v>
      </c>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87" t="s">
        <v>287</v>
      </c>
      <c r="D76" s="136" t="str">
        <f ca="1">IF(OR(D19="SI",D20="SI",D21="SI",D22="SI",D23="SI",D24="SI"),"D",IF(D75&gt;=Reglas!$B$9,"A",IF(D75&gt;=Reglas!$B$10,"B",IF(D75&gt;=Reglas!$B$11,"C",IF(D75&gt;=Reglas!$B$12,"C-","D")))))</f>
        <v>D</v>
      </c>
      <c r="E76" s="277" t="str">
        <f ca="1">IF(D76="A","(80-100) Aprobar $400K-$600K",IF(D76="B","(65-79) Aprobar $300K-$400K",IF(D76="C","(50-64) Aprobar Entrada $200K",IF(D76="C-","(40-49) Revision Comite","(0-39 / Rechazo) $0"))))</f>
        <v>(0-39 / Rechazo) $0</v>
      </c>
      <c r="F76" s="277"/>
      <c r="G76" s="277"/>
      <c r="H76" s="277"/>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78" t="s">
        <v>288</v>
      </c>
      <c r="D77" s="278"/>
      <c r="E77" s="278"/>
      <c r="F77" s="278"/>
      <c r="G77" s="278"/>
      <c r="H77" s="278"/>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79" t="str">
        <f ca="1">IF(H78="SI","- Reducir el monto al sugerido por banda/capacidad","")</f>
        <v/>
      </c>
      <c r="D78" s="279"/>
      <c r="E78" s="279"/>
      <c r="F78" s="279"/>
      <c r="G78" s="279"/>
      <c r="H78" s="164" t="str">
        <f ca="1">IF(AND(NOT(OR(D19="SI",D20="SI",D21="SI",D22="SI",D23="SI",D24="SI")),OR(D76="A",D76="B",D76="C"),D12&gt;MAX(200000,MIN(IF(D76="A",600000,IF(D76="B",400000,IF(D76="C",200000,0))),IF('Flujo credito'!$D$52="SI",600000,IF('Flujo credito'!$E$46&gt;0,400000,200000)),IF('Captura información'!D61&gt;0,2*'Captura información'!D61,600000)))),"SI","NO")</f>
        <v>NO</v>
      </c>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79" t="str">
        <f>IF(H79="SI","- Reducir monto o ampliar plazo (cuota/ingreso supera el limite)","")</f>
        <v/>
      </c>
      <c r="D79" s="279"/>
      <c r="E79" s="279"/>
      <c r="F79" s="279"/>
      <c r="G79" s="279"/>
      <c r="H79" s="164" t="str">
        <f>IF(AND(ISNUMBER('Flujo credito'!$E$43),'Flujo credito'!$E$43&gt;Reglas!$B$18),"SI","NO")</f>
        <v>NO</v>
      </c>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79" t="str">
        <f ca="1">IF(H80="SI","- Exigir cuenta a su nombre con 12+ meses (anti-suplantacion)","")</f>
        <v/>
      </c>
      <c r="D80" s="279"/>
      <c r="E80" s="279"/>
      <c r="F80" s="279"/>
      <c r="G80" s="279"/>
      <c r="H80" s="164" t="str">
        <f ca="1">IF('Captura información'!D45&lt;12,"SI","NO")</f>
        <v>NO</v>
      </c>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79" t="str">
        <f>IF(H81="SI","- Validar identidad / novedad de biometria Digiventure","")</f>
        <v/>
      </c>
      <c r="D81" s="279"/>
      <c r="E81" s="279"/>
      <c r="F81" s="279"/>
      <c r="G81" s="279"/>
      <c r="H81" s="164" t="str">
        <f>IF('Captura información'!D67="SI","SI","NO")</f>
        <v>NO</v>
      </c>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79" t="str">
        <f>IF(H82="SI","- Validar ingresos con soporte adicional (ADRES retirado)","")</f>
        <v/>
      </c>
      <c r="D82" s="279"/>
      <c r="E82" s="279"/>
      <c r="F82" s="279"/>
      <c r="G82" s="279"/>
      <c r="H82" s="164" t="str">
        <f>IF('Captura información'!D64="Retirado, suspendido o sin afiliacion","SI","NO")</f>
        <v>NO</v>
      </c>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79" t="str">
        <f>IF(H83="SI","- Validar capacidad de pago / considerar reducir monto o plazo","")</f>
        <v/>
      </c>
      <c r="D83" s="279"/>
      <c r="E83" s="279"/>
      <c r="F83" s="279"/>
      <c r="G83" s="279"/>
      <c r="H83" s="164" t="str">
        <f>IF(AND(D27="SI",Reglas!$B$20="CONDICION"),"SI","NO")</f>
        <v>NO</v>
      </c>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79" t="str">
        <f>IF(H84="SI","- Verificar consultas recientes / posible sobreendeudamiento","")</f>
        <v/>
      </c>
      <c r="D84" s="279"/>
      <c r="E84" s="279"/>
      <c r="F84" s="279"/>
      <c r="G84" s="279"/>
      <c r="H84" s="164" t="str">
        <f>IF(D28="SI","SI","NO")</f>
        <v>NO</v>
      </c>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79" t="str">
        <f>IF(H85="SI","- Verificar credito reciente aun no reflejado en la cuota","")</f>
        <v/>
      </c>
      <c r="D85" s="279"/>
      <c r="E85" s="279"/>
      <c r="F85" s="279"/>
      <c r="G85" s="279"/>
      <c r="H85" s="164" t="str">
        <f>IF('Captura información'!D52="SI","SI","NO")</f>
        <v>NO</v>
      </c>
      <c r="I85" s="22"/>
      <c r="J85" s="22"/>
      <c r="K85" s="22"/>
      <c r="L85" s="22"/>
      <c r="M85" s="22"/>
      <c r="N85" s="22"/>
      <c r="O85" s="22"/>
      <c r="P85" s="22"/>
      <c r="Q85" s="22"/>
      <c r="R85" s="22"/>
      <c r="S85" s="22"/>
      <c r="T85" s="22"/>
      <c r="U85" s="22"/>
      <c r="V85" s="22"/>
      <c r="W85" s="22"/>
      <c r="X85" s="22"/>
      <c r="Y85" s="22"/>
      <c r="Z85" s="22"/>
    </row>
    <row r="86" spans="1:26" ht="18" customHeight="1" x14ac:dyDescent="0.3">
      <c r="A86" s="22"/>
      <c r="B86" s="22"/>
      <c r="C86" s="161" t="s">
        <v>289</v>
      </c>
      <c r="D86" s="280" t="str">
        <f>IF('Captura información'!$H$19="SI","RECHAZADO",IF(OR(OR(D19="SI",D20="SI",D21="SI",D22="SI",D23="SI",D24="SI"),D76="D"),"RECHAZADO",IF(OR(OR(D25="SI",D26="SI",AND(D27="SI",Reglas!$B$20="COMITE")),D76="C-"),"REVISION COMITE",IF(OR(H78="SI",H79="SI",H80="SI",H81="SI",H82="SI",H83="SI",H84="SI",H85="SI"),"APROBADO CONDICIONADO","APROBADO"))))</f>
        <v>RECHAZADO</v>
      </c>
      <c r="E86" s="280"/>
      <c r="F86" s="280"/>
      <c r="G86" s="280"/>
      <c r="H86" s="280"/>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87" t="s">
        <v>290</v>
      </c>
      <c r="D87" s="165">
        <f>IF(OR(D86="RECHAZADO",D86="REVISION COMITE"),0,IF('Captura información'!$H$20="SI",200000,MAX(200000,MIN(IF(D76="A",600000,IF(D76="B",400000,IF(D76="C",200000,0))),IF('Flujo credito'!$D$52="SI",600000,IF('Flujo credito'!$E$46&gt;0,400000,200000)),IF('Captura información'!D61&gt;0,2*'Captura información'!D61,600000),IF('Captura información'!$H$23="SI",Reglas!$B$177,600000)))))</f>
        <v>0</v>
      </c>
      <c r="E87" s="259" t="s">
        <v>291</v>
      </c>
      <c r="F87" s="259"/>
      <c r="G87" s="259"/>
      <c r="H87" s="259"/>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81" t="str">
        <f>IF('Captura información'!$H$19="SI","POLITICA: cliente sin NINGUNA experiencia crediticia (ni cerrada, ni telco) -&gt; solicitud NEGADA automaticamente.",IF('Captura información'!$H$20="SI","RUTA NUEVO (experiencia SOLO telco): linea de entrada $200.000. Graduar con buen pago interno. Comportamiento medido por telco.",""))</f>
        <v>POLITICA: cliente sin NINGUNA experiencia crediticia (ni cerrada, ni telco) -&gt; solicitud NEGADA automaticamente.</v>
      </c>
      <c r="D88" s="281"/>
      <c r="E88" s="281"/>
      <c r="F88" s="281"/>
      <c r="G88" s="281"/>
      <c r="H88" s="281"/>
      <c r="I88" s="281"/>
      <c r="J88" s="22"/>
      <c r="K88" s="22"/>
      <c r="L88" s="22"/>
      <c r="M88" s="22"/>
      <c r="N88" s="22"/>
      <c r="O88" s="22"/>
      <c r="P88" s="22"/>
      <c r="Q88" s="22"/>
      <c r="R88" s="22"/>
      <c r="S88" s="22"/>
      <c r="T88" s="22"/>
      <c r="U88" s="22"/>
      <c r="V88" s="22"/>
      <c r="W88" s="22"/>
      <c r="X88" s="22"/>
      <c r="Y88" s="22"/>
      <c r="Z88" s="22"/>
    </row>
    <row r="89" spans="1:26" ht="14.25" customHeight="1" x14ac:dyDescent="0.3">
      <c r="A89" s="22"/>
      <c r="B89" s="260" t="s">
        <v>292</v>
      </c>
      <c r="C89" s="260"/>
      <c r="D89" s="260"/>
      <c r="E89" s="260"/>
      <c r="F89" s="260"/>
      <c r="G89" s="260"/>
      <c r="H89" s="260"/>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132" t="s">
        <v>293</v>
      </c>
      <c r="D90" s="273" t="str">
        <f ca="1">IF('Captura información'!D45="","(falta dato)",IF('Captura información'!D45&gt;=12,"OK - cuenta valida (12+ meses)",IF(AND(ISNUMBER('Captura información'!D25),'Captura información'!D25&lt;25),"PENDIENTE - joven + cuenta nueva: EXIGIR cuenta alterna","PENDIENTE - solicitar cuenta a su nombre 12+ meses")))</f>
        <v>(falta dato)</v>
      </c>
      <c r="E90" s="273"/>
      <c r="F90" s="273"/>
      <c r="G90" s="273"/>
      <c r="H90" s="273"/>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60" t="s">
        <v>294</v>
      </c>
      <c r="C92" s="260"/>
      <c r="D92" s="260"/>
      <c r="E92" s="260"/>
      <c r="F92" s="260"/>
      <c r="G92" s="260"/>
      <c r="H92" s="260"/>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82" t="s">
        <v>295</v>
      </c>
      <c r="D93" s="282"/>
      <c r="E93" s="282"/>
      <c r="F93" s="282"/>
      <c r="G93" s="282"/>
      <c r="H93" s="28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82"/>
      <c r="D94" s="282"/>
      <c r="E94" s="282"/>
      <c r="F94" s="282"/>
      <c r="G94" s="282"/>
      <c r="H94" s="28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87" t="s">
        <v>296</v>
      </c>
      <c r="D95" s="166" t="str">
        <f>D8</f>
        <v>Valeria Bohorquez</v>
      </c>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60" t="s">
        <v>297</v>
      </c>
      <c r="C97" s="260"/>
      <c r="D97" s="260"/>
      <c r="E97" s="260"/>
      <c r="F97" s="260"/>
      <c r="G97" s="260"/>
      <c r="H97" s="260"/>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78" t="s">
        <v>298</v>
      </c>
      <c r="D98" s="278"/>
      <c r="E98" s="278"/>
      <c r="F98" s="278"/>
      <c r="G98" s="278"/>
      <c r="H98" s="278"/>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83" t="s">
        <v>299</v>
      </c>
      <c r="D99" s="283"/>
      <c r="E99" s="283"/>
      <c r="F99" s="283"/>
      <c r="G99" s="283"/>
      <c r="H99" s="26" t="s">
        <v>300</v>
      </c>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83" t="s">
        <v>301</v>
      </c>
      <c r="D100" s="283"/>
      <c r="E100" s="283"/>
      <c r="F100" s="283"/>
      <c r="G100" s="283"/>
      <c r="H100" s="26" t="s">
        <v>300</v>
      </c>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83" t="s">
        <v>302</v>
      </c>
      <c r="D101" s="283"/>
      <c r="E101" s="283"/>
      <c r="F101" s="283"/>
      <c r="G101" s="283"/>
      <c r="H101" s="26" t="s">
        <v>300</v>
      </c>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83" t="s">
        <v>303</v>
      </c>
      <c r="D102" s="283"/>
      <c r="E102" s="283"/>
      <c r="F102" s="283"/>
      <c r="G102" s="283"/>
      <c r="H102" s="26" t="s">
        <v>300</v>
      </c>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83" t="s">
        <v>304</v>
      </c>
      <c r="D103" s="283"/>
      <c r="E103" s="283"/>
      <c r="F103" s="283"/>
      <c r="G103" s="283"/>
      <c r="H103" s="26" t="s">
        <v>300</v>
      </c>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83" t="s">
        <v>305</v>
      </c>
      <c r="D104" s="283"/>
      <c r="E104" s="283"/>
      <c r="F104" s="283"/>
      <c r="G104" s="283"/>
      <c r="H104" s="26" t="s">
        <v>300</v>
      </c>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83" t="s">
        <v>306</v>
      </c>
      <c r="D105" s="283"/>
      <c r="E105" s="283"/>
      <c r="F105" s="283"/>
      <c r="G105" s="283"/>
      <c r="H105" s="26" t="s">
        <v>226</v>
      </c>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83" t="s">
        <v>307</v>
      </c>
      <c r="D106" s="283"/>
      <c r="E106" s="283"/>
      <c r="F106" s="283"/>
      <c r="G106" s="283"/>
      <c r="H106" s="26" t="s">
        <v>226</v>
      </c>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C107" s="283" t="s">
        <v>308</v>
      </c>
      <c r="D107" s="283"/>
      <c r="E107" s="283"/>
      <c r="F107" s="283"/>
      <c r="G107" s="283"/>
      <c r="H107" s="26" t="s">
        <v>226</v>
      </c>
    </row>
    <row r="108" spans="1:26" ht="14.25" customHeight="1" x14ac:dyDescent="0.3">
      <c r="C108" s="283" t="s">
        <v>309</v>
      </c>
      <c r="D108" s="283"/>
      <c r="E108" s="283"/>
      <c r="F108" s="283"/>
      <c r="G108" s="283"/>
      <c r="H108" s="26" t="s">
        <v>226</v>
      </c>
    </row>
    <row r="109" spans="1:26" ht="14.25" customHeight="1" x14ac:dyDescent="0.3">
      <c r="C109" s="283" t="s">
        <v>310</v>
      </c>
      <c r="D109" s="283"/>
      <c r="E109" s="283"/>
      <c r="F109" s="283"/>
      <c r="G109" s="283"/>
      <c r="H109" s="26" t="s">
        <v>226</v>
      </c>
    </row>
    <row r="110" spans="1:26" ht="14.25" customHeight="1" x14ac:dyDescent="0.3">
      <c r="C110" s="283" t="s">
        <v>311</v>
      </c>
      <c r="D110" s="283"/>
      <c r="E110" s="283"/>
      <c r="F110" s="283"/>
      <c r="G110" s="283"/>
      <c r="H110" s="26" t="s">
        <v>226</v>
      </c>
    </row>
    <row r="111" spans="1:26" ht="14.25" customHeight="1" x14ac:dyDescent="0.3">
      <c r="C111" s="283" t="s">
        <v>312</v>
      </c>
      <c r="D111" s="283"/>
      <c r="E111" s="283"/>
      <c r="F111" s="283"/>
      <c r="G111" s="283"/>
      <c r="H111" s="26" t="s">
        <v>226</v>
      </c>
    </row>
    <row r="112" spans="1:26" ht="14.25" customHeight="1" x14ac:dyDescent="0.3">
      <c r="A112" s="22"/>
      <c r="B112" s="22"/>
      <c r="C112" s="278" t="s">
        <v>313</v>
      </c>
      <c r="D112" s="278"/>
      <c r="E112" s="278"/>
      <c r="F112" s="278"/>
      <c r="G112" s="278"/>
      <c r="H112" s="278"/>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84" t="str">
        <f>IF(D86="RECHAZADO","Solicitud NEGADA."&amp;IF('Captura información'!$H$19="SI"," Motivo: cliente sin ninguna experiencia crediticia (politica Finalco)."," Ver rechazo tecnico y banda en el Motor de Decision.")&amp;" No aplica VoBo del comite.","VoBo por valor de $"&amp;TEXT(D87,"#,##0")&amp;". Considerar las siguientes observaciones: "&amp;IF(H99="SI","1) Validar identidad con preguntas reto. ","")&amp;IF(H100="SI","2) Solicitar documentacion soporte para validar direccion, telefono o cuenta de ahorros. ","")&amp;IF(H101="SI","3) Solicitar segunda cuenta de ahorros con mayor tiempo evidenciable en historia de credito. ","")&amp;IF(H102="SI","4) Cliente en tratamiento de inclusion financiera o bancarizacion. ","")&amp;IF(H103="SI","5) Cliente con minima experiencia crediticia. ","")&amp;IF(H104="SI","6) Cliente con alguna experiencia crediticia. ","")&amp;IF(H105="SI","7) Cliente con buena experiencia crediticia. ","")&amp;IF(H106="SI","8) Cliente con excelente experiencia crediticia. ","")&amp;IF(H107="SI","9) Pagar oportunamente le permitira dejar las puertas abiertas con la compañia. ","")&amp;IF(H108="SI","10) Esta iniciando su vida crediticia; Finalco le da un voto de confianza. ","")&amp;IF(H109="SI","11) Ha tenido moras pasadas; no obstante, damos un voto de confianza en su pago oportuno. ","")&amp;IF(H110="SI","12) Evidenciamos un endeudamiento que amerita revision interna para evitar quedar en mora. ","")&amp;IF(H111="SI","13) Le recomendamos seguirnos en redes sociales y leer nuestro contenido de educacion financiera. ",""))</f>
        <v>Solicitud NEGADA. Motivo: cliente sin ninguna experiencia crediticia (politica Finalco). No aplica VoBo del comite.</v>
      </c>
      <c r="D113" s="284"/>
      <c r="E113" s="284"/>
      <c r="F113" s="284"/>
      <c r="G113" s="284"/>
      <c r="H113" s="284"/>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84"/>
      <c r="D114" s="284"/>
      <c r="E114" s="284"/>
      <c r="F114" s="284"/>
      <c r="G114" s="284"/>
      <c r="H114" s="284"/>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84"/>
      <c r="D115" s="284"/>
      <c r="E115" s="284"/>
      <c r="F115" s="284"/>
      <c r="G115" s="284"/>
      <c r="H115" s="284"/>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87" t="s">
        <v>314</v>
      </c>
      <c r="D116" s="167"/>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60" t="s">
        <v>315</v>
      </c>
      <c r="C118" s="260"/>
      <c r="D118" s="260"/>
      <c r="E118" s="260"/>
      <c r="F118" s="260"/>
      <c r="G118" s="260"/>
      <c r="H118" s="260"/>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25" customHeight="1" x14ac:dyDescent="0.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25" customHeight="1" x14ac:dyDescent="0.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25" customHeight="1" x14ac:dyDescent="0.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25" customHeight="1" x14ac:dyDescent="0.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4.25" customHeight="1" x14ac:dyDescent="0.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sheetData>
  <mergeCells count="76">
    <mergeCell ref="C112:H112"/>
    <mergeCell ref="C113:H115"/>
    <mergeCell ref="B118:H118"/>
    <mergeCell ref="C107:G107"/>
    <mergeCell ref="C108:G108"/>
    <mergeCell ref="C109:G109"/>
    <mergeCell ref="C110:G110"/>
    <mergeCell ref="C111:G111"/>
    <mergeCell ref="C102:G102"/>
    <mergeCell ref="C103:G103"/>
    <mergeCell ref="C104:G104"/>
    <mergeCell ref="C105:G105"/>
    <mergeCell ref="C106:G106"/>
    <mergeCell ref="B97:H97"/>
    <mergeCell ref="C98:H98"/>
    <mergeCell ref="C99:G99"/>
    <mergeCell ref="C100:G100"/>
    <mergeCell ref="C101:G101"/>
    <mergeCell ref="C88:I88"/>
    <mergeCell ref="B89:H89"/>
    <mergeCell ref="D90:H90"/>
    <mergeCell ref="B92:H92"/>
    <mergeCell ref="C93:H94"/>
    <mergeCell ref="C83:G83"/>
    <mergeCell ref="C84:G84"/>
    <mergeCell ref="C85:G85"/>
    <mergeCell ref="D86:H86"/>
    <mergeCell ref="E87:H87"/>
    <mergeCell ref="C78:G78"/>
    <mergeCell ref="C79:G79"/>
    <mergeCell ref="C80:G80"/>
    <mergeCell ref="C81:G81"/>
    <mergeCell ref="C82:G82"/>
    <mergeCell ref="C60:H60"/>
    <mergeCell ref="B69:H69"/>
    <mergeCell ref="E70:H70"/>
    <mergeCell ref="E76:H76"/>
    <mergeCell ref="C77:H77"/>
    <mergeCell ref="D29:H29"/>
    <mergeCell ref="B31:H31"/>
    <mergeCell ref="C32:H32"/>
    <mergeCell ref="C40:H40"/>
    <mergeCell ref="C52:H52"/>
    <mergeCell ref="D26:E26"/>
    <mergeCell ref="F26:H26"/>
    <mergeCell ref="D27:E27"/>
    <mergeCell ref="F27:H27"/>
    <mergeCell ref="D28:E28"/>
    <mergeCell ref="F28:H28"/>
    <mergeCell ref="D23:E23"/>
    <mergeCell ref="F23:H23"/>
    <mergeCell ref="D24:E24"/>
    <mergeCell ref="F24:H24"/>
    <mergeCell ref="D25:E25"/>
    <mergeCell ref="F25:H25"/>
    <mergeCell ref="D20:E20"/>
    <mergeCell ref="F20:H20"/>
    <mergeCell ref="F21:H21"/>
    <mergeCell ref="D22:E22"/>
    <mergeCell ref="F22:H22"/>
    <mergeCell ref="B14:H14"/>
    <mergeCell ref="E15:H15"/>
    <mergeCell ref="E16:H16"/>
    <mergeCell ref="B18:H18"/>
    <mergeCell ref="D19:E19"/>
    <mergeCell ref="F19:H19"/>
    <mergeCell ref="D8:E8"/>
    <mergeCell ref="D9:E9"/>
    <mergeCell ref="D10:E10"/>
    <mergeCell ref="D11:E11"/>
    <mergeCell ref="D12:E12"/>
    <mergeCell ref="B2:H2"/>
    <mergeCell ref="B3:H3"/>
    <mergeCell ref="B5:H5"/>
    <mergeCell ref="D6:E6"/>
    <mergeCell ref="D7:E7"/>
  </mergeCells>
  <conditionalFormatting sqref="C78:C85">
    <cfRule type="expression" dxfId="15" priority="23">
      <formula>$H78="SI"</formula>
    </cfRule>
  </conditionalFormatting>
  <conditionalFormatting sqref="C88">
    <cfRule type="expression" dxfId="14" priority="45">
      <formula>$C$88&lt;&gt;""</formula>
    </cfRule>
  </conditionalFormatting>
  <conditionalFormatting sqref="D19:D28">
    <cfRule type="cellIs" dxfId="13" priority="35" operator="equal">
      <formula>"SI"</formula>
    </cfRule>
  </conditionalFormatting>
  <conditionalFormatting sqref="D34:D37">
    <cfRule type="expression" dxfId="12" priority="2">
      <formula>AND(ISNUMBER($F34),$F34&lt;=0.4*$G34)</formula>
    </cfRule>
  </conditionalFormatting>
  <conditionalFormatting sqref="D42:D49">
    <cfRule type="expression" dxfId="11" priority="6">
      <formula>AND(ISNUMBER($F42),$F42&lt;=0.4*$G42)</formula>
    </cfRule>
  </conditionalFormatting>
  <conditionalFormatting sqref="D54:D57">
    <cfRule type="expression" dxfId="10" priority="14">
      <formula>AND(ISNUMBER($F54),$F54&lt;=0.4*$G54)</formula>
    </cfRule>
  </conditionalFormatting>
  <conditionalFormatting sqref="D62:D66">
    <cfRule type="expression" dxfId="9" priority="18">
      <formula>AND(ISNUMBER($F62),$F62&lt;=0.4*$G62)</formula>
    </cfRule>
  </conditionalFormatting>
  <conditionalFormatting sqref="D86">
    <cfRule type="cellIs" dxfId="8" priority="31" operator="equal">
      <formula>"APROBADO"</formula>
    </cfRule>
    <cfRule type="cellIs" dxfId="7" priority="32" operator="equal">
      <formula>"APROBADO CONDICIONADO"</formula>
    </cfRule>
    <cfRule type="cellIs" dxfId="6" priority="33" operator="equal">
      <formula>"REVISION COMITE"</formula>
    </cfRule>
    <cfRule type="cellIs" dxfId="5" priority="34" operator="equal">
      <formula>"RECHAZADO"</formula>
    </cfRule>
  </conditionalFormatting>
  <dataValidations count="25">
    <dataValidation type="list" allowBlank="1" sqref="D8" xr:uid="{00000000-0002-0000-0300-000000000000}">
      <formula1>"Luna Munoz,Angelica Barajas,Valeria Bohorquez,Dayana Garibello,Felipe Bohorquez,Fredy Pito,Jhon Enriquez"</formula1>
      <formula2>0</formula2>
    </dataValidation>
    <dataValidation type="list" allowBlank="1" sqref="E21 D23:D26 H99:H106" xr:uid="{00000000-0002-0000-0300-000001000000}">
      <formula1>"SI,NO"</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34" xr:uid="{00000000-0002-0000-0300-000002000000}">
      <formula1>LST_USO_CUPO</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35" xr:uid="{00000000-0002-0000-0300-000003000000}">
      <formula1>LST_HOLGURA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36" xr:uid="{00000000-0002-0000-0300-000004000000}">
      <formula1>LST_MORA_HOY</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37" xr:uid="{00000000-0002-0000-0300-000005000000}">
      <formula1>LST_CARGA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38" xr:uid="{00000000-0002-0000-0300-000006000000}">
      <formula1>LST_TDC</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2" xr:uid="{00000000-0002-0000-0300-000007000000}">
      <formula1>LST_COMP_6M</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3" xr:uid="{00000000-0002-0000-0300-000008000000}">
      <formula1>LST_ESTADO_ACTUAL</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4" xr:uid="{00000000-0002-0000-0300-000009000000}">
      <formula1>LST_CIERRES</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5" xr:uid="{00000000-0002-0000-0300-00000A000000}">
      <formula1>LST_PUNTUALIDAD</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6" xr:uid="{00000000-0002-0000-0300-00000B000000}">
      <formula1>LST_MORA_12M</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7" xr:uid="{00000000-0002-0000-0300-00000C000000}">
      <formula1>LST_TENDENCIA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8" xr:uid="{00000000-0002-0000-0300-00000D000000}">
      <formula1>LST_CALIFICACION</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49" xr:uid="{00000000-0002-0000-0300-00000E000000}">
      <formula1>LST_EXPERIENCIA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54" xr:uid="{00000000-0002-0000-0300-00000F000000}">
      <formula1>LST_DISPONIBLE</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55" xr:uid="{00000000-0002-0000-0300-000010000000}">
      <formula1>LST_PESO_CUOTA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56" xr:uid="{00000000-0002-0000-0300-000011000000}">
      <formula1>LST_CARGA_TOTAL</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57" xr:uid="{00000000-0002-0000-0300-000012000000}">
      <formula1>LST_COHERENCIA</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62" xr:uid="{00000000-0002-0000-0300-000013000000}">
      <formula1>LST_IDENTIDAD</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63" xr:uid="{00000000-0002-0000-0300-000014000000}">
      <formula1>LST_ARRAIGO</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64" xr:uid="{00000000-0002-0000-0300-000015000000}">
      <formula1>LST_BANCARIZACION</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65" xr:uid="{00000000-0002-0000-0300-000016000000}">
      <formula1>LST_FORMALIDAD</formula1>
      <formula2>0</formula2>
    </dataValidation>
    <dataValidation type="list" allowBlank="1" showErrorMessage="1" errorTitle="Valor no valido" error="Seleccione una opcion de la lista (o deje vacio para usar el resultado automatico)." prompt="Opcional: elija de la lista para forzar el ajuste manual. Vacio = automatico." sqref="E66" xr:uid="{00000000-0002-0000-0300-000017000000}">
      <formula1>LST_APETITO</formula1>
      <formula2>0</formula2>
    </dataValidation>
    <dataValidation type="list" allowBlank="1" showErrorMessage="1" sqref="H107:H111" xr:uid="{00000000-0002-0000-0300-000018000000}">
      <formula1>"SI,NO"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160"/>
  <sheetViews>
    <sheetView showGridLines="0" zoomScaleNormal="100" workbookViewId="0">
      <selection activeCell="I20" sqref="I20"/>
    </sheetView>
  </sheetViews>
  <sheetFormatPr baseColWidth="10" defaultColWidth="9.109375" defaultRowHeight="14.4" x14ac:dyDescent="0.3"/>
  <cols>
    <col min="1" max="1" width="122" customWidth="1"/>
  </cols>
  <sheetData>
    <row r="1" spans="1:26" ht="18" customHeight="1" x14ac:dyDescent="0.35">
      <c r="A1" s="147" t="s">
        <v>316</v>
      </c>
      <c r="B1" s="22"/>
      <c r="C1" s="22"/>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72" t="s">
        <v>317</v>
      </c>
      <c r="B2" s="22"/>
      <c r="C2" s="22"/>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132"/>
      <c r="B3" s="22"/>
      <c r="C3" s="22"/>
      <c r="D3" s="22"/>
      <c r="E3" s="22"/>
      <c r="F3" s="22"/>
      <c r="G3" s="22"/>
      <c r="H3" s="22"/>
      <c r="I3" s="22"/>
      <c r="J3" s="22"/>
      <c r="K3" s="22"/>
      <c r="L3" s="22"/>
      <c r="M3" s="22"/>
      <c r="N3" s="22"/>
      <c r="O3" s="22"/>
      <c r="P3" s="22"/>
      <c r="Q3" s="22"/>
      <c r="R3" s="22"/>
      <c r="S3" s="22"/>
      <c r="T3" s="22"/>
      <c r="U3" s="22"/>
      <c r="V3" s="22"/>
      <c r="W3" s="22"/>
      <c r="X3" s="22"/>
      <c r="Y3" s="22"/>
      <c r="Z3" s="22"/>
    </row>
    <row r="4" spans="1:26" ht="14.25" customHeight="1" x14ac:dyDescent="0.3">
      <c r="A4" s="73" t="s">
        <v>318</v>
      </c>
      <c r="B4" s="22"/>
      <c r="C4" s="22"/>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132" t="s">
        <v>319</v>
      </c>
      <c r="B5" s="22"/>
      <c r="C5" s="22"/>
      <c r="D5" s="22"/>
      <c r="E5" s="22"/>
      <c r="F5" s="22"/>
      <c r="G5" s="22"/>
      <c r="H5" s="22"/>
      <c r="I5" s="22"/>
      <c r="J5" s="22"/>
      <c r="K5" s="22"/>
      <c r="L5" s="22"/>
      <c r="M5" s="22"/>
      <c r="N5" s="22"/>
      <c r="O5" s="22"/>
      <c r="P5" s="22"/>
      <c r="Q5" s="22"/>
      <c r="R5" s="22"/>
      <c r="S5" s="22"/>
      <c r="T5" s="22"/>
      <c r="U5" s="22"/>
      <c r="V5" s="22"/>
      <c r="W5" s="22"/>
      <c r="X5" s="22"/>
      <c r="Y5" s="22"/>
      <c r="Z5" s="22"/>
    </row>
    <row r="6" spans="1:26" ht="14.25" customHeight="1" x14ac:dyDescent="0.3">
      <c r="A6" s="132" t="s">
        <v>320</v>
      </c>
      <c r="B6" s="22"/>
      <c r="C6" s="22"/>
      <c r="D6" s="22"/>
      <c r="E6" s="22"/>
      <c r="F6" s="22"/>
      <c r="G6" s="22"/>
      <c r="H6" s="22"/>
      <c r="I6" s="22"/>
      <c r="J6" s="22"/>
      <c r="K6" s="22"/>
      <c r="L6" s="22"/>
      <c r="M6" s="22"/>
      <c r="N6" s="22"/>
      <c r="O6" s="22"/>
      <c r="P6" s="22"/>
      <c r="Q6" s="22"/>
      <c r="R6" s="22"/>
      <c r="S6" s="22"/>
      <c r="T6" s="22"/>
      <c r="U6" s="22"/>
      <c r="V6" s="22"/>
      <c r="W6" s="22"/>
      <c r="X6" s="22"/>
      <c r="Y6" s="22"/>
      <c r="Z6" s="22"/>
    </row>
    <row r="7" spans="1:26" ht="14.25" customHeight="1" x14ac:dyDescent="0.3">
      <c r="A7" s="132" t="s">
        <v>321</v>
      </c>
      <c r="B7" s="22"/>
      <c r="C7" s="22"/>
      <c r="D7" s="22"/>
      <c r="E7" s="22"/>
      <c r="F7" s="22"/>
      <c r="G7" s="22"/>
      <c r="H7" s="22"/>
      <c r="I7" s="22"/>
      <c r="J7" s="22"/>
      <c r="K7" s="22"/>
      <c r="L7" s="22"/>
      <c r="M7" s="22"/>
      <c r="N7" s="22"/>
      <c r="O7" s="22"/>
      <c r="P7" s="22"/>
      <c r="Q7" s="22"/>
      <c r="R7" s="22"/>
      <c r="S7" s="22"/>
      <c r="T7" s="22"/>
      <c r="U7" s="22"/>
      <c r="V7" s="22"/>
      <c r="W7" s="22"/>
      <c r="X7" s="22"/>
      <c r="Y7" s="22"/>
      <c r="Z7" s="22"/>
    </row>
    <row r="8" spans="1:26" ht="14.25" customHeight="1" x14ac:dyDescent="0.3">
      <c r="A8" s="132" t="s">
        <v>322</v>
      </c>
      <c r="B8" s="22"/>
      <c r="C8" s="22"/>
      <c r="D8" s="22"/>
      <c r="E8" s="22"/>
      <c r="F8" s="22"/>
      <c r="G8" s="22"/>
      <c r="H8" s="22"/>
      <c r="I8" s="22"/>
      <c r="J8" s="22"/>
      <c r="K8" s="22"/>
      <c r="L8" s="22"/>
      <c r="M8" s="22"/>
      <c r="N8" s="22"/>
      <c r="O8" s="22"/>
      <c r="P8" s="22"/>
      <c r="Q8" s="22"/>
      <c r="R8" s="22"/>
      <c r="S8" s="22"/>
      <c r="T8" s="22"/>
      <c r="U8" s="22"/>
      <c r="V8" s="22"/>
      <c r="W8" s="22"/>
      <c r="X8" s="22"/>
      <c r="Y8" s="22"/>
      <c r="Z8" s="22"/>
    </row>
    <row r="9" spans="1:26" ht="14.25" customHeight="1" x14ac:dyDescent="0.3">
      <c r="A9" s="132" t="s">
        <v>323</v>
      </c>
      <c r="B9" s="22"/>
      <c r="C9" s="22"/>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132" t="s">
        <v>324</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132" t="s">
        <v>325</v>
      </c>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13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73" t="s">
        <v>326</v>
      </c>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132" t="s">
        <v>327</v>
      </c>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132" t="s">
        <v>328</v>
      </c>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132" t="s">
        <v>329</v>
      </c>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13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73" t="s">
        <v>330</v>
      </c>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132" t="s">
        <v>331</v>
      </c>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132" t="s">
        <v>332</v>
      </c>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132" t="s">
        <v>333</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132" t="s">
        <v>334</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13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73" t="s">
        <v>335</v>
      </c>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132" t="s">
        <v>336</v>
      </c>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132" t="s">
        <v>337</v>
      </c>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132" t="s">
        <v>338</v>
      </c>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13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73" t="s">
        <v>339</v>
      </c>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132" t="s">
        <v>340</v>
      </c>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132" t="s">
        <v>341</v>
      </c>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13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73" t="s">
        <v>342</v>
      </c>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132" t="s">
        <v>343</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132" t="s">
        <v>344</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13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73" t="s">
        <v>345</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132" t="s">
        <v>346</v>
      </c>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132" t="s">
        <v>347</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132" t="s">
        <v>348</v>
      </c>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132" t="s">
        <v>349</v>
      </c>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13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73" t="s">
        <v>350</v>
      </c>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132" t="s">
        <v>351</v>
      </c>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132" t="s">
        <v>352</v>
      </c>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13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73" t="s">
        <v>353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132" t="s">
        <v>354</v>
      </c>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132" t="s">
        <v>355</v>
      </c>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60"/>
  <sheetViews>
    <sheetView showGridLines="0" zoomScaleNormal="100" workbookViewId="0">
      <selection activeCell="J18" sqref="J18"/>
    </sheetView>
  </sheetViews>
  <sheetFormatPr baseColWidth="10" defaultColWidth="10.6640625" defaultRowHeight="14.4" x14ac:dyDescent="0.3"/>
  <cols>
    <col min="1" max="1" width="5" customWidth="1"/>
    <col min="4" max="4" width="11.44140625" customWidth="1"/>
    <col min="5" max="5" width="20.5546875" customWidth="1"/>
    <col min="10" max="10" width="21.88671875" customWidth="1"/>
  </cols>
  <sheetData>
    <row r="1" spans="1:26" ht="15" customHeight="1" x14ac:dyDescent="0.3">
      <c r="A1" s="22"/>
      <c r="B1" s="22"/>
      <c r="C1" s="22"/>
      <c r="D1" s="22"/>
      <c r="E1" s="22"/>
      <c r="F1" s="22"/>
      <c r="G1" s="22"/>
      <c r="H1" s="22"/>
      <c r="I1" s="22"/>
      <c r="J1" s="22"/>
      <c r="K1" s="22"/>
      <c r="L1" s="22"/>
      <c r="M1" s="22"/>
      <c r="N1" s="22"/>
      <c r="O1" s="22"/>
      <c r="P1" s="22"/>
      <c r="Q1" s="22" t="s">
        <v>300</v>
      </c>
      <c r="R1" s="22"/>
      <c r="S1" s="22"/>
      <c r="T1" s="22"/>
      <c r="U1" s="22"/>
      <c r="V1" s="22"/>
      <c r="W1" s="22"/>
      <c r="X1" s="22"/>
      <c r="Y1" s="22"/>
      <c r="Z1" s="22"/>
    </row>
    <row r="2" spans="1:26" ht="15" customHeight="1" x14ac:dyDescent="0.3">
      <c r="A2" s="22"/>
      <c r="B2" s="285" t="s">
        <v>356</v>
      </c>
      <c r="C2" s="285"/>
      <c r="D2" s="285"/>
      <c r="E2" s="285"/>
      <c r="F2" s="285"/>
      <c r="G2" s="285"/>
      <c r="H2" s="285"/>
      <c r="I2" s="285"/>
      <c r="J2" s="285"/>
      <c r="K2" s="22"/>
      <c r="L2" s="22"/>
      <c r="M2" s="22"/>
      <c r="N2" s="22"/>
      <c r="O2" s="22"/>
      <c r="P2" s="22"/>
      <c r="Q2" s="22" t="s">
        <v>226</v>
      </c>
      <c r="R2" s="22"/>
      <c r="S2" s="22"/>
      <c r="T2" s="22"/>
      <c r="U2" s="22"/>
      <c r="V2" s="22"/>
      <c r="W2" s="22"/>
      <c r="X2" s="22"/>
      <c r="Y2" s="22"/>
      <c r="Z2" s="22"/>
    </row>
    <row r="3" spans="1:26" ht="62.25" customHeight="1" x14ac:dyDescent="0.3">
      <c r="A3" s="22"/>
      <c r="B3" s="286" t="s">
        <v>357</v>
      </c>
      <c r="C3" s="286"/>
      <c r="D3" s="286"/>
      <c r="E3" s="286"/>
      <c r="F3" s="286"/>
      <c r="G3" s="286"/>
      <c r="H3" s="286"/>
      <c r="I3" s="286"/>
      <c r="J3" s="286"/>
      <c r="K3" s="22"/>
      <c r="L3" s="22"/>
      <c r="M3" s="22"/>
      <c r="N3" s="22"/>
      <c r="O3" s="22"/>
      <c r="P3" s="22"/>
      <c r="Q3" s="22"/>
      <c r="R3" s="22"/>
      <c r="S3" s="22"/>
      <c r="T3" s="22"/>
      <c r="U3" s="22"/>
      <c r="V3" s="22"/>
      <c r="W3" s="22"/>
      <c r="X3" s="22"/>
      <c r="Y3" s="22"/>
      <c r="Z3" s="22"/>
    </row>
    <row r="4" spans="1:26" ht="46.5" customHeight="1" x14ac:dyDescent="0.3">
      <c r="A4" s="22"/>
      <c r="B4" s="287" t="s">
        <v>358</v>
      </c>
      <c r="C4" s="287"/>
      <c r="D4" s="287"/>
      <c r="E4" s="287"/>
      <c r="F4" s="22"/>
      <c r="G4" s="288" t="s">
        <v>359</v>
      </c>
      <c r="H4" s="288"/>
      <c r="I4" s="288"/>
      <c r="J4" s="288"/>
      <c r="K4" s="22"/>
      <c r="L4" s="22"/>
      <c r="M4" s="22"/>
      <c r="N4" s="22"/>
      <c r="O4" s="22"/>
      <c r="P4" s="22"/>
      <c r="Q4" s="22"/>
      <c r="R4" s="22"/>
      <c r="S4" s="22"/>
      <c r="T4" s="22"/>
      <c r="U4" s="22"/>
      <c r="V4" s="22"/>
      <c r="W4" s="22"/>
      <c r="X4" s="22"/>
      <c r="Y4" s="22"/>
      <c r="Z4" s="22"/>
    </row>
    <row r="5" spans="1:26" ht="15" customHeight="1" x14ac:dyDescent="0.3">
      <c r="A5" s="22"/>
      <c r="B5" s="289"/>
      <c r="C5" s="289"/>
      <c r="D5" s="289"/>
      <c r="E5" s="289"/>
      <c r="F5" s="22"/>
      <c r="G5" s="289"/>
      <c r="H5" s="289"/>
      <c r="I5" s="289"/>
      <c r="J5" s="289"/>
      <c r="K5" s="22"/>
      <c r="L5" s="22"/>
      <c r="M5" s="22"/>
      <c r="N5" s="22"/>
      <c r="O5" s="22"/>
      <c r="P5" s="22"/>
      <c r="Q5" s="22"/>
      <c r="R5" s="22"/>
      <c r="S5" s="22"/>
      <c r="T5" s="22"/>
      <c r="U5" s="22"/>
      <c r="V5" s="22"/>
      <c r="W5" s="22"/>
      <c r="X5" s="22"/>
      <c r="Y5" s="22"/>
      <c r="Z5" s="22"/>
    </row>
    <row r="6" spans="1:26" ht="14.25" customHeight="1" x14ac:dyDescent="0.3">
      <c r="A6" s="22"/>
      <c r="B6" s="22"/>
      <c r="C6" s="22"/>
      <c r="D6" s="22"/>
      <c r="E6" s="22"/>
      <c r="F6" s="22"/>
      <c r="G6" s="22"/>
      <c r="H6" s="22"/>
      <c r="I6" s="22"/>
      <c r="J6" s="22"/>
      <c r="K6" s="22"/>
      <c r="L6" s="22"/>
      <c r="M6" s="22"/>
      <c r="N6" s="22"/>
      <c r="O6" s="22"/>
      <c r="P6" s="22"/>
      <c r="Q6" s="22"/>
      <c r="R6" s="22"/>
      <c r="S6" s="22"/>
      <c r="T6" s="22"/>
      <c r="U6" s="22"/>
      <c r="V6" s="22"/>
      <c r="W6" s="22"/>
      <c r="X6" s="22"/>
      <c r="Y6" s="22"/>
      <c r="Z6" s="22"/>
    </row>
    <row r="7" spans="1:26" ht="66" customHeight="1" x14ac:dyDescent="0.3">
      <c r="A7" s="22"/>
      <c r="B7" s="290" t="s">
        <v>360</v>
      </c>
      <c r="C7" s="290"/>
      <c r="D7" s="290"/>
      <c r="E7" s="290"/>
      <c r="F7" s="22"/>
      <c r="G7" s="288" t="s">
        <v>361</v>
      </c>
      <c r="H7" s="288"/>
      <c r="I7" s="288"/>
      <c r="J7" s="288"/>
      <c r="K7" s="22"/>
      <c r="L7" s="22"/>
      <c r="M7" s="22"/>
      <c r="N7" s="22"/>
      <c r="O7" s="22"/>
      <c r="P7" s="22"/>
      <c r="Q7" s="22"/>
      <c r="R7" s="22"/>
      <c r="S7" s="22"/>
      <c r="T7" s="22"/>
      <c r="U7" s="22"/>
      <c r="V7" s="22"/>
      <c r="W7" s="22"/>
      <c r="X7" s="22"/>
      <c r="Y7" s="22"/>
      <c r="Z7" s="22"/>
    </row>
    <row r="8" spans="1:26" ht="15" customHeight="1" x14ac:dyDescent="0.3">
      <c r="A8" s="22"/>
      <c r="B8" s="289"/>
      <c r="C8" s="289"/>
      <c r="D8" s="289"/>
      <c r="E8" s="289"/>
      <c r="F8" s="22"/>
      <c r="G8" s="289"/>
      <c r="H8" s="289"/>
      <c r="I8" s="289"/>
      <c r="J8" s="289"/>
      <c r="K8" s="22"/>
      <c r="L8" s="22"/>
      <c r="M8" s="22"/>
      <c r="N8" s="22"/>
      <c r="O8" s="22"/>
      <c r="P8" s="22"/>
      <c r="Q8" s="22"/>
      <c r="R8" s="22"/>
      <c r="S8" s="22"/>
      <c r="T8" s="22"/>
      <c r="U8" s="22"/>
      <c r="V8" s="22"/>
      <c r="W8" s="22"/>
      <c r="X8" s="22"/>
      <c r="Y8" s="22"/>
      <c r="Z8" s="22"/>
    </row>
    <row r="9" spans="1:26" ht="14.25" customHeight="1" x14ac:dyDescent="0.3">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ht="15" customHeight="1" x14ac:dyDescent="0.3">
      <c r="A10" s="22"/>
      <c r="B10" s="290" t="s">
        <v>362</v>
      </c>
      <c r="C10" s="290"/>
      <c r="D10" s="290"/>
      <c r="E10" s="290"/>
      <c r="F10" s="22"/>
      <c r="G10" s="288" t="s">
        <v>363</v>
      </c>
      <c r="H10" s="288"/>
      <c r="I10" s="288"/>
      <c r="J10" s="288"/>
      <c r="K10" s="22"/>
      <c r="L10" s="22"/>
      <c r="M10" s="22"/>
      <c r="N10" s="22"/>
      <c r="O10" s="22"/>
      <c r="P10" s="22"/>
      <c r="Q10" s="22"/>
      <c r="R10" s="22"/>
      <c r="S10" s="22"/>
      <c r="T10" s="22"/>
      <c r="U10" s="22"/>
      <c r="V10" s="22"/>
      <c r="W10" s="22"/>
      <c r="X10" s="22"/>
      <c r="Y10" s="22"/>
      <c r="Z10" s="22"/>
    </row>
    <row r="11" spans="1:26" ht="27.75" customHeight="1" x14ac:dyDescent="0.3">
      <c r="A11" s="22"/>
      <c r="B11" s="290"/>
      <c r="C11" s="290"/>
      <c r="D11" s="290"/>
      <c r="E11" s="290"/>
      <c r="F11" s="22"/>
      <c r="G11" s="288"/>
      <c r="H11" s="288"/>
      <c r="I11" s="288"/>
      <c r="J11" s="288"/>
      <c r="K11" s="22"/>
      <c r="L11" s="22"/>
      <c r="M11" s="22"/>
      <c r="N11" s="22"/>
      <c r="O11" s="22"/>
      <c r="P11" s="22"/>
      <c r="Q11" s="22"/>
      <c r="R11" s="22"/>
      <c r="S11" s="22"/>
      <c r="T11" s="22"/>
      <c r="U11" s="22"/>
      <c r="V11" s="22"/>
      <c r="W11" s="22"/>
      <c r="X11" s="22"/>
      <c r="Y11" s="22"/>
      <c r="Z11" s="22"/>
    </row>
    <row r="12" spans="1:26" ht="15" customHeight="1" x14ac:dyDescent="0.3">
      <c r="A12" s="22"/>
      <c r="B12" s="289"/>
      <c r="C12" s="289"/>
      <c r="D12" s="289"/>
      <c r="E12" s="289"/>
      <c r="F12" s="22"/>
      <c r="G12" s="289"/>
      <c r="H12" s="289"/>
      <c r="I12" s="289"/>
      <c r="J12" s="289"/>
      <c r="K12" s="22"/>
      <c r="L12" s="22"/>
      <c r="M12" s="22"/>
      <c r="N12" s="22"/>
      <c r="O12" s="22"/>
      <c r="P12" s="22"/>
      <c r="Q12" s="22"/>
      <c r="R12" s="22"/>
      <c r="S12" s="22"/>
      <c r="T12" s="22"/>
      <c r="U12" s="22"/>
      <c r="V12" s="22"/>
      <c r="W12" s="22"/>
      <c r="X12" s="22"/>
      <c r="Y12" s="22"/>
      <c r="Z12" s="22"/>
    </row>
    <row r="13" spans="1:26" ht="14.25" customHeight="1"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45.75" customHeight="1" x14ac:dyDescent="0.3">
      <c r="A14" s="22"/>
      <c r="B14" s="288" t="s">
        <v>364</v>
      </c>
      <c r="C14" s="288"/>
      <c r="D14" s="288"/>
      <c r="E14" s="288"/>
      <c r="F14" s="22"/>
      <c r="G14" s="290"/>
      <c r="H14" s="290"/>
      <c r="I14" s="290"/>
      <c r="J14" s="290"/>
      <c r="K14" s="22"/>
      <c r="L14" s="22"/>
      <c r="M14" s="22"/>
      <c r="N14" s="22"/>
      <c r="O14" s="22"/>
      <c r="P14" s="22"/>
      <c r="Q14" s="22"/>
      <c r="R14" s="22"/>
      <c r="S14" s="22"/>
      <c r="T14" s="22"/>
      <c r="U14" s="22"/>
      <c r="V14" s="22"/>
      <c r="W14" s="22"/>
      <c r="X14" s="22"/>
      <c r="Y14" s="22"/>
      <c r="Z14" s="22"/>
    </row>
    <row r="15" spans="1:26" ht="20.25" customHeight="1" x14ac:dyDescent="0.3">
      <c r="A15" s="22"/>
      <c r="B15" s="288"/>
      <c r="C15" s="288"/>
      <c r="D15" s="288"/>
      <c r="E15" s="288"/>
      <c r="F15" s="22"/>
      <c r="G15" s="290"/>
      <c r="H15" s="290"/>
      <c r="I15" s="290"/>
      <c r="J15" s="290"/>
      <c r="K15" s="22"/>
      <c r="L15" s="22"/>
      <c r="M15" s="22"/>
      <c r="N15" s="22"/>
      <c r="O15" s="22"/>
      <c r="P15" s="22"/>
      <c r="Q15" s="22"/>
      <c r="R15" s="22"/>
      <c r="S15" s="22"/>
      <c r="T15" s="22"/>
      <c r="U15" s="22"/>
      <c r="V15" s="22"/>
      <c r="W15" s="22"/>
      <c r="X15" s="22"/>
      <c r="Y15" s="22"/>
      <c r="Z15" s="22"/>
    </row>
    <row r="16" spans="1:26" ht="15" customHeight="1" x14ac:dyDescent="0.3">
      <c r="A16" s="22"/>
      <c r="B16" s="289"/>
      <c r="C16" s="289"/>
      <c r="D16" s="289"/>
      <c r="E16" s="289"/>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46.5" customHeight="1"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17">
    <mergeCell ref="B12:E12"/>
    <mergeCell ref="G12:J12"/>
    <mergeCell ref="B14:E15"/>
    <mergeCell ref="G14:J15"/>
    <mergeCell ref="B16:E16"/>
    <mergeCell ref="B7:E7"/>
    <mergeCell ref="G7:J7"/>
    <mergeCell ref="B8:E8"/>
    <mergeCell ref="G8:J8"/>
    <mergeCell ref="B10:E11"/>
    <mergeCell ref="G10:J11"/>
    <mergeCell ref="B2:J2"/>
    <mergeCell ref="B3:J3"/>
    <mergeCell ref="B4:E4"/>
    <mergeCell ref="G4:J4"/>
    <mergeCell ref="B5:E5"/>
    <mergeCell ref="G5:J5"/>
  </mergeCells>
  <dataValidations count="1">
    <dataValidation type="list" allowBlank="1" showInputMessage="1" showErrorMessage="1" sqref="G5:J5 B8:E8 G8:J8 B12:E12 G12:J12 B16:E16" xr:uid="{00000000-0002-0000-0500-000000000000}">
      <formula1>$Q$1:$Q$3</formula1>
      <formula2>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60"/>
  <sheetViews>
    <sheetView zoomScaleNormal="100" workbookViewId="0">
      <selection activeCell="H23" sqref="H23"/>
    </sheetView>
  </sheetViews>
  <sheetFormatPr baseColWidth="10" defaultColWidth="10.88671875" defaultRowHeight="14.4" x14ac:dyDescent="0.3"/>
  <cols>
    <col min="1" max="1" width="3.44140625" style="86" customWidth="1"/>
    <col min="2" max="2" width="20.44140625" style="86" customWidth="1"/>
    <col min="3" max="3" width="15" style="86" customWidth="1"/>
    <col min="4" max="7" width="10.88671875" style="86"/>
    <col min="8" max="8" width="13.109375" style="86" customWidth="1"/>
    <col min="9" max="16384" width="10.88671875" style="86"/>
  </cols>
  <sheetData>
    <row r="1" spans="1:26" s="89" customFormat="1" ht="12.7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s="89" customFormat="1" ht="12.75" customHeight="1" x14ac:dyDescent="0.3">
      <c r="A2" s="22"/>
      <c r="B2" s="291" t="s">
        <v>365</v>
      </c>
      <c r="C2" s="291"/>
      <c r="D2" s="291"/>
      <c r="E2" s="291"/>
      <c r="F2" s="291"/>
      <c r="G2" s="291"/>
      <c r="H2" s="291"/>
      <c r="I2" s="22"/>
      <c r="J2" s="22"/>
      <c r="K2" s="22"/>
      <c r="L2" s="22"/>
      <c r="M2" s="22"/>
      <c r="N2" s="22"/>
      <c r="O2" s="22"/>
      <c r="P2" s="22"/>
      <c r="Q2" s="22"/>
      <c r="R2" s="22"/>
      <c r="S2" s="22"/>
      <c r="T2" s="22"/>
      <c r="U2" s="22"/>
      <c r="V2" s="22"/>
      <c r="W2" s="22"/>
      <c r="X2" s="22"/>
      <c r="Y2" s="22"/>
      <c r="Z2" s="22"/>
    </row>
    <row r="3" spans="1:26" s="89" customFormat="1" ht="12.75" customHeight="1" x14ac:dyDescent="0.3">
      <c r="A3" s="22"/>
      <c r="B3" s="168"/>
      <c r="C3" s="168"/>
      <c r="D3" s="168"/>
      <c r="E3" s="22"/>
      <c r="F3" s="22"/>
      <c r="G3" s="22"/>
      <c r="H3" s="22"/>
      <c r="I3" s="22"/>
      <c r="J3" s="22"/>
      <c r="K3" s="22"/>
      <c r="L3" s="22"/>
      <c r="M3" s="22"/>
      <c r="N3" s="22"/>
      <c r="O3" s="22"/>
      <c r="P3" s="22"/>
      <c r="Q3" s="22"/>
      <c r="R3" s="22"/>
      <c r="S3" s="22"/>
      <c r="T3" s="22"/>
      <c r="U3" s="22"/>
      <c r="V3" s="22"/>
      <c r="W3" s="22"/>
      <c r="X3" s="22"/>
      <c r="Y3" s="22"/>
      <c r="Z3" s="22"/>
    </row>
    <row r="4" spans="1:26" s="89" customFormat="1" ht="12.75" customHeight="1" x14ac:dyDescent="0.3">
      <c r="A4" s="22"/>
      <c r="B4" s="169" t="s">
        <v>157</v>
      </c>
      <c r="C4" s="170">
        <f>+'Plan de pagos'!M5</f>
        <v>0</v>
      </c>
      <c r="D4" s="168"/>
      <c r="E4" s="22"/>
      <c r="F4" s="22"/>
      <c r="G4" s="22"/>
      <c r="H4" s="22"/>
      <c r="I4" s="22"/>
      <c r="J4" s="22"/>
      <c r="K4" s="22"/>
      <c r="L4" s="22"/>
      <c r="M4" s="22"/>
      <c r="N4" s="22"/>
      <c r="O4" s="22"/>
      <c r="P4" s="22"/>
      <c r="Q4" s="22"/>
      <c r="R4" s="22"/>
      <c r="S4" s="22"/>
      <c r="T4" s="22"/>
      <c r="U4" s="22"/>
      <c r="V4" s="22"/>
      <c r="W4" s="22"/>
      <c r="X4" s="22"/>
      <c r="Y4" s="22"/>
      <c r="Z4" s="22"/>
    </row>
    <row r="5" spans="1:26" s="89" customFormat="1" ht="12.75" customHeight="1" x14ac:dyDescent="0.3">
      <c r="A5" s="22"/>
      <c r="B5" s="169" t="s">
        <v>366</v>
      </c>
      <c r="C5" s="171">
        <f>+'Plan de pagos'!M6</f>
        <v>0</v>
      </c>
      <c r="D5" s="168"/>
      <c r="E5" s="22"/>
      <c r="F5" s="22"/>
      <c r="G5" s="22"/>
      <c r="H5" s="22"/>
      <c r="I5" s="22"/>
      <c r="J5" s="22"/>
      <c r="K5" s="22"/>
      <c r="L5" s="22"/>
      <c r="M5" s="22"/>
      <c r="N5" s="22"/>
      <c r="O5" s="22"/>
      <c r="P5" s="22"/>
      <c r="Q5" s="22"/>
      <c r="R5" s="22"/>
      <c r="S5" s="22"/>
      <c r="T5" s="22"/>
      <c r="U5" s="22"/>
      <c r="V5" s="22"/>
      <c r="W5" s="22"/>
      <c r="X5" s="22"/>
      <c r="Y5" s="22"/>
      <c r="Z5" s="22"/>
    </row>
    <row r="6" spans="1:26" s="89" customFormat="1" ht="12.75" customHeight="1" x14ac:dyDescent="0.3">
      <c r="A6" s="22"/>
      <c r="B6" s="169" t="s">
        <v>367</v>
      </c>
      <c r="C6" s="170">
        <f>+'Plan de pagos'!M7</f>
        <v>0</v>
      </c>
      <c r="D6" s="22"/>
      <c r="E6" s="22"/>
      <c r="F6" s="22"/>
      <c r="G6" s="22"/>
      <c r="H6" s="22"/>
      <c r="I6" s="22"/>
      <c r="J6" s="22"/>
      <c r="K6" s="22"/>
      <c r="L6" s="22"/>
      <c r="M6" s="22"/>
      <c r="N6" s="22"/>
      <c r="O6" s="22"/>
      <c r="P6" s="22"/>
      <c r="Q6" s="22"/>
      <c r="R6" s="22"/>
      <c r="S6" s="22"/>
      <c r="T6" s="22"/>
      <c r="U6" s="22"/>
      <c r="V6" s="22"/>
      <c r="W6" s="22"/>
      <c r="X6" s="22"/>
      <c r="Y6" s="22"/>
      <c r="Z6" s="22"/>
    </row>
    <row r="7" spans="1:26" ht="14.25" customHeight="1" x14ac:dyDescent="0.3">
      <c r="A7" s="22"/>
      <c r="B7" s="22"/>
      <c r="C7" s="22"/>
      <c r="D7" s="22"/>
      <c r="E7" s="22"/>
      <c r="F7" s="22"/>
      <c r="G7" s="22"/>
      <c r="H7" s="22"/>
      <c r="I7" s="22"/>
      <c r="J7" s="22"/>
      <c r="K7" s="22"/>
      <c r="L7" s="22"/>
      <c r="M7" s="22"/>
      <c r="N7" s="22"/>
      <c r="O7" s="22"/>
      <c r="P7" s="22"/>
      <c r="Q7" s="22"/>
      <c r="R7" s="22"/>
      <c r="S7" s="22"/>
      <c r="T7" s="22"/>
      <c r="U7" s="22"/>
      <c r="V7" s="22"/>
      <c r="W7" s="22"/>
      <c r="X7" s="22"/>
      <c r="Y7" s="22"/>
      <c r="Z7" s="22"/>
    </row>
    <row r="8" spans="1:26" ht="14.25" customHeight="1" x14ac:dyDescent="0.3">
      <c r="A8" s="22"/>
      <c r="B8" s="292" t="s">
        <v>368</v>
      </c>
      <c r="C8" s="292"/>
      <c r="D8" s="292"/>
      <c r="E8" s="292"/>
      <c r="F8" s="292"/>
      <c r="G8" s="292"/>
      <c r="H8" s="292"/>
      <c r="I8" s="22"/>
      <c r="J8" s="22"/>
      <c r="K8" s="22"/>
      <c r="L8" s="22"/>
      <c r="M8" s="22"/>
      <c r="N8" s="22"/>
      <c r="O8" s="22"/>
      <c r="P8" s="22"/>
      <c r="Q8" s="22"/>
      <c r="R8" s="22"/>
      <c r="S8" s="22"/>
      <c r="T8" s="22"/>
      <c r="U8" s="22"/>
      <c r="V8" s="22"/>
      <c r="W8" s="22"/>
      <c r="X8" s="22"/>
      <c r="Y8" s="22"/>
      <c r="Z8" s="22"/>
    </row>
    <row r="9" spans="1:26" ht="14.25" customHeight="1" x14ac:dyDescent="0.3">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9.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92" t="s">
        <v>369</v>
      </c>
      <c r="C52" s="292"/>
      <c r="D52" s="292"/>
      <c r="E52" s="292"/>
      <c r="F52" s="292"/>
      <c r="G52" s="292"/>
      <c r="H52" s="29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3">
    <mergeCell ref="B2:H2"/>
    <mergeCell ref="B8:H8"/>
    <mergeCell ref="B52:H52"/>
  </mergeCells>
  <pageMargins left="0.70833333333333304" right="0.70833333333333304" top="0.905555555555556" bottom="0.74861111111111101" header="0.31527777777777799" footer="0.31527777777777799"/>
  <pageSetup scale="93" orientation="portrait" horizontalDpi="300" verticalDpi="300"/>
  <headerFooter>
    <oddHeader>&amp;R_x005F_x000a__x005F_x000a_&amp;D</oddHeader>
    <oddFooter>&amp;R&amp;T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60"/>
  <sheetViews>
    <sheetView showGridLines="0" zoomScaleNormal="100" workbookViewId="0">
      <selection activeCell="A5" sqref="A5"/>
    </sheetView>
  </sheetViews>
  <sheetFormatPr baseColWidth="10" defaultColWidth="10.6640625" defaultRowHeight="14.4" x14ac:dyDescent="0.3"/>
  <cols>
    <col min="1" max="1" width="30" customWidth="1"/>
    <col min="3" max="3" width="5.88671875" style="172" customWidth="1"/>
    <col min="4" max="4" width="6.5546875" style="172" customWidth="1"/>
    <col min="5" max="5" width="5.88671875" style="172" customWidth="1"/>
    <col min="6" max="6" width="11.44140625" style="172" customWidth="1"/>
    <col min="7" max="7" width="5.88671875" hidden="1" customWidth="1"/>
    <col min="8" max="8" width="7.5546875" hidden="1" customWidth="1"/>
    <col min="9" max="9" width="13.5546875" customWidth="1"/>
    <col min="10" max="10" width="3.44140625" hidden="1" customWidth="1"/>
  </cols>
  <sheetData>
    <row r="1" spans="1:26" ht="14.2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173" t="s">
        <v>370</v>
      </c>
      <c r="B3" s="22"/>
      <c r="C3" s="22"/>
      <c r="D3" s="22"/>
      <c r="E3" s="22"/>
      <c r="F3" s="22"/>
      <c r="G3" s="22"/>
      <c r="H3" s="22"/>
      <c r="I3" s="22"/>
      <c r="J3" s="22"/>
      <c r="K3" s="22"/>
      <c r="L3" s="22"/>
      <c r="M3" s="22"/>
      <c r="N3" s="22"/>
      <c r="O3" s="22"/>
      <c r="P3" s="22"/>
      <c r="Q3" s="22"/>
      <c r="R3" s="22"/>
      <c r="S3" s="22"/>
      <c r="T3" s="22"/>
      <c r="U3" s="22"/>
      <c r="V3" s="22"/>
      <c r="W3" s="22"/>
      <c r="X3" s="22"/>
      <c r="Y3" s="22"/>
      <c r="Z3" s="22"/>
    </row>
    <row r="4" spans="1:26" ht="14.25" customHeight="1" x14ac:dyDescent="0.3">
      <c r="A4" s="22"/>
      <c r="B4" s="22"/>
      <c r="C4" s="22"/>
      <c r="D4" s="22"/>
      <c r="E4" s="22"/>
      <c r="F4" s="22"/>
      <c r="G4" s="22"/>
      <c r="H4" s="22"/>
      <c r="I4" s="22"/>
      <c r="J4" s="22"/>
      <c r="K4" s="22"/>
      <c r="L4" s="22"/>
      <c r="M4" s="22"/>
      <c r="N4" s="22"/>
      <c r="O4" s="22"/>
      <c r="P4" s="22"/>
      <c r="Q4" s="22"/>
      <c r="R4" s="22"/>
      <c r="S4" s="22"/>
      <c r="T4" s="22"/>
      <c r="U4" s="22"/>
      <c r="V4" s="22"/>
      <c r="W4" s="22"/>
      <c r="X4" s="22"/>
      <c r="Y4" s="22"/>
      <c r="Z4" s="22"/>
    </row>
    <row r="5" spans="1:26" ht="24" customHeight="1" x14ac:dyDescent="0.3">
      <c r="A5" s="22"/>
      <c r="B5" s="174" t="s">
        <v>33</v>
      </c>
      <c r="C5" s="293" t="s">
        <v>34</v>
      </c>
      <c r="D5" s="293"/>
      <c r="E5" s="293"/>
      <c r="F5" s="175" t="s">
        <v>35</v>
      </c>
      <c r="G5" s="176"/>
      <c r="H5" s="176"/>
      <c r="I5" s="294" t="s">
        <v>36</v>
      </c>
      <c r="J5" s="294"/>
      <c r="K5" s="174" t="s">
        <v>37</v>
      </c>
      <c r="L5" s="177" t="s">
        <v>38</v>
      </c>
      <c r="M5" s="177" t="s">
        <v>39</v>
      </c>
      <c r="N5" s="178" t="s">
        <v>33</v>
      </c>
      <c r="O5" s="178" t="s">
        <v>40</v>
      </c>
      <c r="P5" s="22"/>
      <c r="Q5" s="22"/>
      <c r="R5" s="22"/>
      <c r="S5" s="22"/>
      <c r="T5" s="22"/>
      <c r="U5" s="22"/>
      <c r="V5" s="22"/>
      <c r="W5" s="22"/>
      <c r="X5" s="22"/>
      <c r="Y5" s="22"/>
      <c r="Z5" s="22"/>
    </row>
    <row r="6" spans="1:26" ht="14.25" customHeight="1" x14ac:dyDescent="0.3">
      <c r="A6" s="22"/>
      <c r="B6" s="179">
        <v>0</v>
      </c>
      <c r="C6" s="295"/>
      <c r="D6" s="295"/>
      <c r="E6" s="295"/>
      <c r="F6" s="180">
        <f t="array" ref="F6:H6">+'Plan de pagos'!F18:H18</f>
        <v>30000</v>
      </c>
      <c r="G6" s="181">
        <v>0</v>
      </c>
      <c r="H6" s="181">
        <v>0</v>
      </c>
      <c r="I6" s="61"/>
      <c r="J6" s="61"/>
      <c r="K6" s="61"/>
      <c r="L6" s="61"/>
      <c r="M6" s="61"/>
      <c r="N6" s="61"/>
      <c r="O6" s="61"/>
      <c r="P6" s="22"/>
      <c r="Q6" s="22"/>
      <c r="R6" s="22"/>
      <c r="S6" s="22"/>
      <c r="T6" s="22"/>
      <c r="U6" s="22"/>
      <c r="V6" s="22"/>
      <c r="W6" s="22"/>
      <c r="X6" s="22"/>
      <c r="Y6" s="22"/>
      <c r="Z6" s="22"/>
    </row>
    <row r="7" spans="1:26" ht="14.25" customHeight="1" x14ac:dyDescent="0.3">
      <c r="A7" s="22"/>
      <c r="B7" s="182">
        <f>+'Plan de pagos'!B19</f>
        <v>1</v>
      </c>
      <c r="C7" s="183">
        <f>+'Plan de pagos'!C19</f>
        <v>14</v>
      </c>
      <c r="D7" s="183" t="str">
        <f>+'Plan de pagos'!D19</f>
        <v>Feb</v>
      </c>
      <c r="E7" s="184">
        <f>+'Plan de pagos'!E19</f>
        <v>2026</v>
      </c>
      <c r="F7" s="180">
        <f t="array" ref="F7:H7">+'Plan de pagos'!F19:H19</f>
        <v>15135.750017882936</v>
      </c>
      <c r="G7" s="181">
        <v>0</v>
      </c>
      <c r="H7" s="181">
        <v>0</v>
      </c>
      <c r="I7" s="185">
        <f t="array" ref="I7:J7">+'Plan de pagos'!J19:K19</f>
        <v>14864.249982117064</v>
      </c>
      <c r="J7" s="186">
        <v>0</v>
      </c>
      <c r="K7" s="185">
        <f>+'Plan de pagos'!L19</f>
        <v>547.95910205865277</v>
      </c>
      <c r="L7" s="185">
        <f>+'Plan de pagos'!M19</f>
        <v>57</v>
      </c>
      <c r="M7" s="185">
        <f>+'Plan de pagos'!N19</f>
        <v>0</v>
      </c>
      <c r="N7" s="185">
        <f>+'Plan de pagos'!O19</f>
        <v>15412.209084175716</v>
      </c>
      <c r="O7" s="185">
        <f>+'Plan de pagos'!P19</f>
        <v>15469.209084175716</v>
      </c>
      <c r="P7" s="22"/>
      <c r="Q7" s="22"/>
      <c r="R7" s="22"/>
      <c r="S7" s="22"/>
      <c r="T7" s="22"/>
      <c r="U7" s="22"/>
      <c r="V7" s="22"/>
      <c r="W7" s="22"/>
      <c r="X7" s="22"/>
      <c r="Y7" s="22"/>
      <c r="Z7" s="22"/>
    </row>
    <row r="8" spans="1:26" ht="14.25" customHeight="1" x14ac:dyDescent="0.3">
      <c r="A8" s="22"/>
      <c r="B8" s="182">
        <f>+'Plan de pagos'!B20</f>
        <v>2</v>
      </c>
      <c r="C8" s="183">
        <f>+'Plan de pagos'!C20</f>
        <v>14</v>
      </c>
      <c r="D8" s="183" t="str">
        <f>+'Plan de pagos'!D20</f>
        <v>Mar</v>
      </c>
      <c r="E8" s="184">
        <f>+'Plan de pagos'!E20</f>
        <v>2026</v>
      </c>
      <c r="F8" s="187">
        <f t="array" ref="F8:H8">+'Plan de pagos'!F20:H20</f>
        <v>-1.8189894035458565E-12</v>
      </c>
      <c r="G8" s="188">
        <v>0</v>
      </c>
      <c r="H8" s="188">
        <v>0</v>
      </c>
      <c r="I8" s="185">
        <f t="array" ref="I8:J8">+'Plan de pagos'!J20:K20</f>
        <v>15135.750017882938</v>
      </c>
      <c r="J8" s="188">
        <v>0</v>
      </c>
      <c r="K8" s="185">
        <f>+'Plan de pagos'!L20</f>
        <v>276.45906629277903</v>
      </c>
      <c r="L8" s="185">
        <f>+'Plan de pagos'!M20</f>
        <v>57</v>
      </c>
      <c r="M8" s="185">
        <f>+'Plan de pagos'!N20</f>
        <v>0</v>
      </c>
      <c r="N8" s="185">
        <f>+'Plan de pagos'!O20</f>
        <v>15412.209084175716</v>
      </c>
      <c r="O8" s="185">
        <f>+'Plan de pagos'!P20</f>
        <v>15469.209084175716</v>
      </c>
      <c r="P8" s="22"/>
      <c r="Q8" s="22"/>
      <c r="R8" s="22"/>
      <c r="S8" s="22"/>
      <c r="T8" s="22"/>
      <c r="U8" s="22"/>
      <c r="V8" s="22"/>
      <c r="W8" s="22"/>
      <c r="X8" s="22"/>
      <c r="Y8" s="22"/>
      <c r="Z8" s="22"/>
    </row>
    <row r="9" spans="1:26" ht="14.25" customHeight="1" x14ac:dyDescent="0.3">
      <c r="A9" s="22"/>
      <c r="B9" s="296"/>
      <c r="C9" s="296"/>
      <c r="D9" s="296"/>
      <c r="E9" s="296"/>
      <c r="F9" s="296"/>
      <c r="G9" s="296"/>
      <c r="H9" s="296"/>
      <c r="I9" s="189">
        <f t="array" ref="I9:J9">+'Plan de pagos'!J21:K21</f>
        <v>30000</v>
      </c>
      <c r="J9" s="190">
        <v>0</v>
      </c>
      <c r="K9" s="191">
        <f>+'Plan de pagos'!L21</f>
        <v>824.41816835143186</v>
      </c>
      <c r="L9" s="191">
        <f>+'Plan de pagos'!M21</f>
        <v>114</v>
      </c>
      <c r="M9" s="191">
        <f>+'Plan de pagos'!N21</f>
        <v>0</v>
      </c>
      <c r="N9" s="191">
        <f>+'Plan de pagos'!O21</f>
        <v>30824.418168351433</v>
      </c>
      <c r="O9" s="191">
        <f>+'Plan de pagos'!P21</f>
        <v>30938.418168351433</v>
      </c>
      <c r="P9" s="22"/>
      <c r="Q9" s="22"/>
      <c r="R9" s="22"/>
      <c r="S9" s="22"/>
      <c r="T9" s="22"/>
      <c r="U9" s="22"/>
      <c r="V9" s="22"/>
      <c r="W9" s="22"/>
      <c r="X9" s="22"/>
      <c r="Y9" s="22"/>
      <c r="Z9" s="22"/>
    </row>
    <row r="10" spans="1:26" ht="14.25" customHeight="1"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173" t="s">
        <v>371</v>
      </c>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173"/>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192" t="s">
        <v>372</v>
      </c>
      <c r="B15" s="185">
        <f>+'Plan de pagos'!P14</f>
        <v>0</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192" t="s">
        <v>373</v>
      </c>
      <c r="B16" s="193">
        <f>+K9</f>
        <v>824.41816835143186</v>
      </c>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192" t="s">
        <v>374</v>
      </c>
      <c r="B17" s="193">
        <f>+L9</f>
        <v>114</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192" t="s">
        <v>375</v>
      </c>
      <c r="B18" s="193">
        <f>+M9</f>
        <v>0</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192" t="s">
        <v>376</v>
      </c>
      <c r="B19" s="193">
        <f>(+B15*3%)+7800</f>
        <v>7800</v>
      </c>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192" t="s">
        <v>377</v>
      </c>
      <c r="B20" s="194">
        <v>30000</v>
      </c>
      <c r="C20" s="195"/>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192" t="s">
        <v>378</v>
      </c>
      <c r="B21" s="193">
        <f>-B19</f>
        <v>-7800</v>
      </c>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192" t="s">
        <v>379</v>
      </c>
      <c r="B22" s="196">
        <f>SUM(B15:B21)</f>
        <v>30938.418168351433</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4">
    <mergeCell ref="C5:E5"/>
    <mergeCell ref="I5:J5"/>
    <mergeCell ref="C6:E6"/>
    <mergeCell ref="B9:H9"/>
  </mergeCells>
  <conditionalFormatting sqref="B6:B8">
    <cfRule type="cellIs" dxfId="4" priority="2" operator="equal">
      <formula>"Borrar"</formula>
    </cfRule>
  </conditionalFormatting>
  <conditionalFormatting sqref="C6">
    <cfRule type="cellIs" dxfId="3" priority="4" operator="equal">
      <formula>"Borrar"</formula>
    </cfRule>
  </conditionalFormatting>
  <conditionalFormatting sqref="C7:E8">
    <cfRule type="cellIs" dxfId="2" priority="3" operator="equal">
      <formula>"Borrar"</formula>
    </cfRule>
  </conditionalFormatting>
  <conditionalFormatting sqref="F6:F7">
    <cfRule type="cellIs" dxfId="1" priority="5" operator="equal">
      <formula>"Pago mayor"</formula>
    </cfRule>
  </conditionalFormatting>
  <conditionalFormatting sqref="F7">
    <cfRule type="cellIs" dxfId="0" priority="6" operator="equal">
      <formula>"Cancelado"</formula>
    </cfRule>
  </conditionalFormatting>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Z160"/>
  <sheetViews>
    <sheetView showGridLines="0" zoomScaleNormal="100" workbookViewId="0">
      <selection activeCell="H12" sqref="H12"/>
    </sheetView>
  </sheetViews>
  <sheetFormatPr baseColWidth="10" defaultColWidth="10.6640625" defaultRowHeight="14.4" x14ac:dyDescent="0.3"/>
  <cols>
    <col min="1" max="1" width="6" customWidth="1"/>
    <col min="2" max="2" width="13.5546875" style="197" customWidth="1"/>
    <col min="3" max="3" width="71" style="198" customWidth="1"/>
    <col min="4" max="4" width="2.5546875" customWidth="1"/>
    <col min="5" max="5" width="41.88671875" hidden="1" customWidth="1"/>
  </cols>
  <sheetData>
    <row r="1" spans="1:26" ht="14.2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22"/>
      <c r="B2" s="297" t="s">
        <v>380</v>
      </c>
      <c r="C2" s="297"/>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22"/>
      <c r="B3" s="199"/>
      <c r="C3" s="200"/>
      <c r="D3" s="22"/>
      <c r="E3" s="22"/>
      <c r="F3" s="22"/>
      <c r="G3" s="22"/>
      <c r="H3" s="22"/>
      <c r="I3" s="22"/>
      <c r="J3" s="22"/>
      <c r="K3" s="22"/>
      <c r="L3" s="22"/>
      <c r="M3" s="22"/>
      <c r="N3" s="22"/>
      <c r="O3" s="22"/>
      <c r="P3" s="22"/>
      <c r="Q3" s="22"/>
      <c r="R3" s="22"/>
      <c r="S3" s="22"/>
      <c r="T3" s="22"/>
      <c r="U3" s="22"/>
      <c r="V3" s="22"/>
      <c r="W3" s="22"/>
      <c r="X3" s="22"/>
      <c r="Y3" s="22"/>
      <c r="Z3" s="22"/>
    </row>
    <row r="4" spans="1:26" ht="102" customHeight="1" x14ac:dyDescent="0.3">
      <c r="A4" s="22"/>
      <c r="B4" s="201" t="s">
        <v>381</v>
      </c>
      <c r="C4" s="202" t="s">
        <v>382</v>
      </c>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22"/>
      <c r="B5" s="199"/>
      <c r="C5" s="200"/>
      <c r="D5" s="22"/>
      <c r="E5" s="22"/>
      <c r="F5" s="22"/>
      <c r="G5" s="22"/>
      <c r="H5" s="22"/>
      <c r="I5" s="22"/>
      <c r="J5" s="22"/>
      <c r="K5" s="22"/>
      <c r="L5" s="22"/>
      <c r="M5" s="22"/>
      <c r="N5" s="22"/>
      <c r="O5" s="22"/>
      <c r="P5" s="22"/>
      <c r="Q5" s="22"/>
      <c r="R5" s="22"/>
      <c r="S5" s="22"/>
      <c r="T5" s="22"/>
      <c r="U5" s="22"/>
      <c r="V5" s="22"/>
      <c r="W5" s="22"/>
      <c r="X5" s="22"/>
      <c r="Y5" s="22"/>
      <c r="Z5" s="22"/>
    </row>
    <row r="6" spans="1:26" ht="72.75" hidden="1" customHeight="1" x14ac:dyDescent="0.3">
      <c r="A6" s="22"/>
      <c r="B6" s="298" t="s">
        <v>383</v>
      </c>
      <c r="C6" s="203" t="s">
        <v>384</v>
      </c>
      <c r="D6" s="22"/>
      <c r="E6" s="22"/>
      <c r="F6" s="22"/>
      <c r="G6" s="22"/>
      <c r="H6" s="22"/>
      <c r="I6" s="22"/>
      <c r="J6" s="22"/>
      <c r="K6" s="22"/>
      <c r="L6" s="22"/>
      <c r="M6" s="22"/>
      <c r="N6" s="22"/>
      <c r="O6" s="22"/>
      <c r="P6" s="22"/>
      <c r="Q6" s="22"/>
      <c r="R6" s="22"/>
      <c r="S6" s="22"/>
      <c r="T6" s="22"/>
      <c r="U6" s="22"/>
      <c r="V6" s="22"/>
      <c r="W6" s="22"/>
      <c r="X6" s="22"/>
      <c r="Y6" s="22"/>
      <c r="Z6" s="22"/>
    </row>
    <row r="7" spans="1:26" ht="14.25" hidden="1" customHeight="1" x14ac:dyDescent="0.3">
      <c r="A7" s="22"/>
      <c r="B7" s="298"/>
      <c r="C7" s="204" t="s">
        <v>385</v>
      </c>
      <c r="D7" s="22"/>
      <c r="E7" s="22"/>
      <c r="F7" s="22"/>
      <c r="G7" s="22"/>
      <c r="H7" s="22"/>
      <c r="I7" s="22"/>
      <c r="J7" s="22"/>
      <c r="K7" s="22"/>
      <c r="L7" s="22"/>
      <c r="M7" s="22"/>
      <c r="N7" s="22"/>
      <c r="O7" s="22"/>
      <c r="P7" s="22"/>
      <c r="Q7" s="22"/>
      <c r="R7" s="22"/>
      <c r="S7" s="22"/>
      <c r="T7" s="22"/>
      <c r="U7" s="22"/>
      <c r="V7" s="22"/>
      <c r="W7" s="22"/>
      <c r="X7" s="22"/>
      <c r="Y7" s="22"/>
      <c r="Z7" s="22"/>
    </row>
    <row r="8" spans="1:26" ht="43.5" hidden="1" customHeight="1" x14ac:dyDescent="0.3">
      <c r="A8" s="22"/>
      <c r="B8" s="298"/>
      <c r="C8" s="205" t="s">
        <v>386</v>
      </c>
      <c r="D8" s="22"/>
      <c r="E8" s="22"/>
      <c r="F8" s="22"/>
      <c r="G8" s="22"/>
      <c r="H8" s="22"/>
      <c r="I8" s="22"/>
      <c r="J8" s="22"/>
      <c r="K8" s="22"/>
      <c r="L8" s="22"/>
      <c r="M8" s="22"/>
      <c r="N8" s="22"/>
      <c r="O8" s="22"/>
      <c r="P8" s="22"/>
      <c r="Q8" s="22"/>
      <c r="R8" s="22"/>
      <c r="S8" s="22"/>
      <c r="T8" s="22"/>
      <c r="U8" s="22"/>
      <c r="V8" s="22"/>
      <c r="W8" s="22"/>
      <c r="X8" s="22"/>
      <c r="Y8" s="22"/>
      <c r="Z8" s="22"/>
    </row>
    <row r="9" spans="1:26" ht="14.25" customHeight="1" x14ac:dyDescent="0.3">
      <c r="A9" s="22"/>
      <c r="B9" s="199"/>
      <c r="C9" s="206"/>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22"/>
      <c r="B10" s="298" t="s">
        <v>387</v>
      </c>
      <c r="C10" s="207" t="s">
        <v>388</v>
      </c>
      <c r="D10" s="22"/>
      <c r="E10" s="208" t="s">
        <v>389</v>
      </c>
      <c r="F10" s="22"/>
      <c r="G10" s="22"/>
      <c r="H10" s="22"/>
      <c r="I10" s="22"/>
      <c r="J10" s="22"/>
      <c r="K10" s="22"/>
      <c r="L10" s="22"/>
      <c r="M10" s="22"/>
      <c r="N10" s="22"/>
      <c r="O10" s="22"/>
      <c r="P10" s="22"/>
      <c r="Q10" s="22"/>
      <c r="R10" s="22"/>
      <c r="S10" s="22"/>
      <c r="T10" s="22"/>
      <c r="U10" s="22"/>
      <c r="V10" s="22"/>
      <c r="W10" s="22"/>
      <c r="X10" s="22"/>
      <c r="Y10" s="22"/>
      <c r="Z10" s="22"/>
    </row>
    <row r="11" spans="1:26" ht="102" customHeight="1" x14ac:dyDescent="0.3">
      <c r="A11" s="22"/>
      <c r="B11" s="298"/>
      <c r="C11" s="204" t="s">
        <v>390</v>
      </c>
      <c r="D11" s="22"/>
      <c r="E11" s="209" t="s">
        <v>391</v>
      </c>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98"/>
      <c r="C12" s="210" t="s">
        <v>392</v>
      </c>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199"/>
      <c r="C13" s="200"/>
      <c r="D13" s="22"/>
      <c r="E13" s="22"/>
      <c r="F13" s="22"/>
      <c r="G13" s="22"/>
      <c r="H13" s="22"/>
      <c r="I13" s="22"/>
      <c r="J13" s="22"/>
      <c r="K13" s="22"/>
      <c r="L13" s="22"/>
      <c r="M13" s="22"/>
      <c r="N13" s="22"/>
      <c r="O13" s="22"/>
      <c r="P13" s="22"/>
      <c r="Q13" s="22"/>
      <c r="R13" s="22"/>
      <c r="S13" s="22"/>
      <c r="T13" s="22"/>
      <c r="U13" s="22"/>
      <c r="V13" s="22"/>
      <c r="W13" s="22"/>
      <c r="X13" s="22"/>
      <c r="Y13" s="22"/>
      <c r="Z13" s="22"/>
    </row>
    <row r="14" spans="1:26" ht="28.5" customHeight="1" x14ac:dyDescent="0.3">
      <c r="A14" s="22"/>
      <c r="B14" s="298" t="s">
        <v>393</v>
      </c>
      <c r="C14" s="203" t="s">
        <v>394</v>
      </c>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298"/>
      <c r="C15" s="211"/>
      <c r="D15" s="22"/>
      <c r="E15" s="22"/>
      <c r="F15" s="22"/>
      <c r="G15" s="22"/>
      <c r="H15" s="22"/>
      <c r="I15" s="22"/>
      <c r="J15" s="22"/>
      <c r="K15" s="22"/>
      <c r="L15" s="22"/>
      <c r="M15" s="22"/>
      <c r="N15" s="22"/>
      <c r="O15" s="22"/>
      <c r="P15" s="22"/>
      <c r="Q15" s="22"/>
      <c r="R15" s="22"/>
      <c r="S15" s="22"/>
      <c r="T15" s="22"/>
      <c r="U15" s="22"/>
      <c r="V15" s="22"/>
      <c r="W15" s="22"/>
      <c r="X15" s="22"/>
      <c r="Y15" s="22"/>
      <c r="Z15" s="22"/>
    </row>
    <row r="16" spans="1:26" ht="57.75" customHeight="1" x14ac:dyDescent="0.3">
      <c r="A16" s="22"/>
      <c r="B16" s="298"/>
      <c r="C16" s="204" t="s">
        <v>395</v>
      </c>
      <c r="D16" s="212"/>
      <c r="E16" s="213" t="s">
        <v>396</v>
      </c>
      <c r="F16" s="22"/>
      <c r="G16" s="22"/>
      <c r="H16" s="22"/>
      <c r="I16" s="22"/>
      <c r="J16" s="22"/>
      <c r="K16" s="22"/>
      <c r="L16" s="22"/>
      <c r="M16" s="22"/>
      <c r="N16" s="22"/>
      <c r="O16" s="22"/>
      <c r="P16" s="22"/>
      <c r="Q16" s="22"/>
      <c r="R16" s="22"/>
      <c r="S16" s="22"/>
      <c r="T16" s="22"/>
      <c r="U16" s="22"/>
      <c r="V16" s="22"/>
      <c r="W16" s="22"/>
      <c r="X16" s="22"/>
      <c r="Y16" s="22"/>
      <c r="Z16" s="22"/>
    </row>
    <row r="17" spans="1:26" ht="47.25" customHeight="1" x14ac:dyDescent="0.3">
      <c r="A17" s="22"/>
      <c r="B17" s="299" t="s">
        <v>397</v>
      </c>
      <c r="C17" s="299"/>
      <c r="D17" s="22"/>
      <c r="E17" s="22"/>
      <c r="F17" s="22"/>
      <c r="G17" s="22"/>
      <c r="H17" s="22"/>
      <c r="I17" s="22"/>
      <c r="J17" s="22"/>
      <c r="K17" s="22"/>
      <c r="L17" s="22"/>
      <c r="M17" s="22"/>
      <c r="N17" s="22"/>
      <c r="O17" s="22"/>
      <c r="P17" s="22"/>
      <c r="Q17" s="22"/>
      <c r="R17" s="22"/>
      <c r="S17" s="22"/>
      <c r="T17" s="22"/>
      <c r="U17" s="22"/>
      <c r="V17" s="22"/>
      <c r="W17" s="22"/>
      <c r="X17" s="22"/>
      <c r="Y17" s="22"/>
      <c r="Z17" s="22"/>
    </row>
    <row r="18" spans="1:26" ht="43.5" customHeight="1" x14ac:dyDescent="0.3">
      <c r="A18" s="22"/>
      <c r="B18" s="298" t="s">
        <v>398</v>
      </c>
      <c r="C18" s="203" t="s">
        <v>399</v>
      </c>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22"/>
      <c r="B19" s="298"/>
      <c r="C19" s="211" t="s">
        <v>400</v>
      </c>
      <c r="D19" s="22"/>
      <c r="E19" s="22"/>
      <c r="F19" s="22"/>
      <c r="G19" s="22"/>
      <c r="H19" s="22"/>
      <c r="I19" s="22"/>
      <c r="J19" s="22"/>
      <c r="K19" s="22"/>
      <c r="L19" s="22"/>
      <c r="M19" s="22"/>
      <c r="N19" s="22"/>
      <c r="O19" s="22"/>
      <c r="P19" s="22"/>
      <c r="Q19" s="22"/>
      <c r="R19" s="22"/>
      <c r="S19" s="22"/>
      <c r="T19" s="22"/>
      <c r="U19" s="22"/>
      <c r="V19" s="22"/>
      <c r="W19" s="22"/>
      <c r="X19" s="22"/>
      <c r="Y19" s="22"/>
      <c r="Z19" s="22"/>
    </row>
    <row r="20" spans="1:26" ht="28.5" customHeight="1" x14ac:dyDescent="0.3">
      <c r="A20" s="22"/>
      <c r="B20" s="298"/>
      <c r="C20" s="204" t="s">
        <v>401</v>
      </c>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6">
    <mergeCell ref="B18:B20"/>
    <mergeCell ref="B2:C2"/>
    <mergeCell ref="B6:B8"/>
    <mergeCell ref="B10:B12"/>
    <mergeCell ref="B14:B16"/>
    <mergeCell ref="B17:C17"/>
  </mergeCells>
  <hyperlinks>
    <hyperlink ref="C7" location="Preguntas_Reto!A1" display="Rta. Positiva: De acuerdo (realizar Preguntas reto)" xr:uid="{00000000-0004-0000-0800-000000000000}"/>
    <hyperlink ref="E16" r:id="rId1" xr:uid="{00000000-0004-0000-0800-000001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Z160"/>
  <sheetViews>
    <sheetView showGridLines="0" topLeftCell="A9" zoomScaleNormal="100" workbookViewId="0">
      <selection activeCell="K28" sqref="K28"/>
    </sheetView>
  </sheetViews>
  <sheetFormatPr baseColWidth="10" defaultColWidth="10.6640625" defaultRowHeight="14.4" x14ac:dyDescent="0.3"/>
  <cols>
    <col min="1" max="1" width="3.88671875" customWidth="1"/>
    <col min="2" max="2" width="12.5546875" customWidth="1"/>
    <col min="4" max="4" width="9.5546875" customWidth="1"/>
    <col min="5" max="5" width="13.109375" customWidth="1"/>
    <col min="7" max="7" width="14.109375" customWidth="1"/>
    <col min="16" max="16" width="13" hidden="1" customWidth="1"/>
  </cols>
  <sheetData>
    <row r="1" spans="1:26" ht="14.2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22"/>
      <c r="B2" s="173" t="s">
        <v>402</v>
      </c>
      <c r="C2" s="22"/>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22"/>
      <c r="B3" s="173"/>
      <c r="C3" s="22"/>
      <c r="D3" s="22"/>
      <c r="E3" s="22"/>
      <c r="F3" s="22"/>
      <c r="G3" s="22"/>
      <c r="H3" s="22"/>
      <c r="I3" s="22"/>
      <c r="J3" s="22"/>
      <c r="K3" s="22"/>
      <c r="L3" s="22"/>
      <c r="M3" s="22"/>
      <c r="N3" s="22"/>
      <c r="O3" s="22"/>
      <c r="P3" s="22"/>
      <c r="Q3" s="22"/>
      <c r="R3" s="22"/>
      <c r="S3" s="22"/>
      <c r="T3" s="22"/>
      <c r="U3" s="22"/>
      <c r="V3" s="22"/>
      <c r="W3" s="22"/>
      <c r="X3" s="22"/>
      <c r="Y3" s="22"/>
      <c r="Z3" s="22"/>
    </row>
    <row r="4" spans="1:26" ht="14.25" customHeight="1" x14ac:dyDescent="0.3">
      <c r="A4" s="22"/>
      <c r="B4" s="214" t="s">
        <v>403</v>
      </c>
      <c r="C4" s="300"/>
      <c r="D4" s="300"/>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22"/>
      <c r="B5" s="214"/>
      <c r="C5" s="22"/>
      <c r="D5" s="22"/>
      <c r="E5" s="22"/>
      <c r="F5" s="22"/>
      <c r="G5" s="22"/>
      <c r="H5" s="22"/>
      <c r="I5" s="22"/>
      <c r="J5" s="22"/>
      <c r="K5" s="22"/>
      <c r="L5" s="22"/>
      <c r="M5" s="22"/>
      <c r="N5" s="22"/>
      <c r="O5" s="22"/>
      <c r="P5" s="22"/>
      <c r="Q5" s="22"/>
      <c r="R5" s="22"/>
      <c r="S5" s="22"/>
      <c r="T5" s="22"/>
      <c r="U5" s="22"/>
      <c r="V5" s="22"/>
      <c r="W5" s="22"/>
      <c r="X5" s="22"/>
      <c r="Y5" s="22"/>
      <c r="Z5" s="22"/>
    </row>
    <row r="6" spans="1:26" ht="14.25" customHeight="1" x14ac:dyDescent="0.3">
      <c r="A6" s="22"/>
      <c r="B6" s="215" t="s">
        <v>404</v>
      </c>
      <c r="C6" s="22"/>
      <c r="D6" s="301"/>
      <c r="E6" s="301"/>
      <c r="F6" s="301"/>
      <c r="G6" s="301"/>
      <c r="H6" s="301"/>
      <c r="I6" s="301"/>
      <c r="J6" s="301"/>
      <c r="K6" s="22"/>
      <c r="L6" s="22"/>
      <c r="M6" s="22"/>
      <c r="N6" s="22"/>
      <c r="O6" s="22"/>
      <c r="P6" s="22"/>
      <c r="Q6" s="22"/>
      <c r="R6" s="22"/>
      <c r="S6" s="22"/>
      <c r="T6" s="22"/>
      <c r="U6" s="22"/>
      <c r="V6" s="22"/>
      <c r="W6" s="22"/>
      <c r="X6" s="22"/>
      <c r="Y6" s="22"/>
      <c r="Z6" s="22"/>
    </row>
    <row r="7" spans="1:26" ht="14.25" customHeight="1" x14ac:dyDescent="0.3">
      <c r="A7" s="22"/>
      <c r="B7" s="215"/>
      <c r="C7" s="22"/>
      <c r="D7" s="301"/>
      <c r="E7" s="301"/>
      <c r="F7" s="301"/>
      <c r="G7" s="301"/>
      <c r="H7" s="301"/>
      <c r="I7" s="301"/>
      <c r="J7" s="301"/>
      <c r="K7" s="22"/>
      <c r="L7" s="22"/>
      <c r="M7" s="22"/>
      <c r="N7" s="22"/>
      <c r="O7" s="22"/>
      <c r="P7" s="22"/>
      <c r="Q7" s="22"/>
      <c r="R7" s="22"/>
      <c r="S7" s="22"/>
      <c r="T7" s="22"/>
      <c r="U7" s="22"/>
      <c r="V7" s="22"/>
      <c r="W7" s="22"/>
      <c r="X7" s="22"/>
      <c r="Y7" s="22"/>
      <c r="Z7" s="22"/>
    </row>
    <row r="8" spans="1:26" ht="14.25" customHeight="1" x14ac:dyDescent="0.3">
      <c r="A8" s="22"/>
      <c r="B8" s="215"/>
      <c r="C8" s="22"/>
      <c r="D8" s="22"/>
      <c r="E8" s="22"/>
      <c r="F8" s="22"/>
      <c r="G8" s="22"/>
      <c r="H8" s="22"/>
      <c r="I8" s="22"/>
      <c r="J8" s="22"/>
      <c r="K8" s="22"/>
      <c r="L8" s="22"/>
      <c r="M8" s="22"/>
      <c r="N8" s="22"/>
      <c r="O8" s="22"/>
      <c r="P8" s="22"/>
      <c r="Q8" s="22"/>
      <c r="R8" s="22"/>
      <c r="S8" s="22"/>
      <c r="T8" s="22"/>
      <c r="U8" s="22"/>
      <c r="V8" s="22"/>
      <c r="W8" s="22"/>
      <c r="X8" s="22"/>
      <c r="Y8" s="22"/>
      <c r="Z8" s="22"/>
    </row>
    <row r="9" spans="1:26" ht="14.25" customHeight="1" x14ac:dyDescent="0.3">
      <c r="A9" s="22"/>
      <c r="B9" s="216" t="s">
        <v>405</v>
      </c>
      <c r="C9" s="22"/>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14" t="s">
        <v>406</v>
      </c>
      <c r="C11" s="300"/>
      <c r="D11" s="300"/>
      <c r="E11" s="214" t="s">
        <v>407</v>
      </c>
      <c r="F11" s="300"/>
      <c r="G11" s="300"/>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2"/>
      <c r="B13" s="214" t="s">
        <v>23</v>
      </c>
      <c r="C13" s="300"/>
      <c r="D13" s="300"/>
      <c r="E13" s="214" t="s">
        <v>408</v>
      </c>
      <c r="F13" s="300"/>
      <c r="G13" s="300"/>
      <c r="H13" s="300"/>
      <c r="I13" s="300"/>
      <c r="J13" s="300"/>
      <c r="K13" s="22"/>
      <c r="L13" s="22"/>
      <c r="M13" s="22"/>
      <c r="N13" s="22"/>
      <c r="O13" s="22"/>
      <c r="P13" s="22"/>
      <c r="Q13" s="22"/>
      <c r="R13" s="22"/>
      <c r="S13" s="22"/>
      <c r="T13" s="22"/>
      <c r="U13" s="22"/>
      <c r="V13" s="22"/>
      <c r="W13" s="22"/>
      <c r="X13" s="22"/>
      <c r="Y13" s="22"/>
      <c r="Z13" s="22"/>
    </row>
    <row r="14" spans="1:26" ht="14.25" customHeight="1"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173" t="s">
        <v>409</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17" t="s">
        <v>410</v>
      </c>
      <c r="C17" s="300"/>
      <c r="D17" s="300"/>
      <c r="E17" s="214" t="s">
        <v>407</v>
      </c>
      <c r="F17" s="300"/>
      <c r="G17" s="300"/>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2"/>
      <c r="C18" s="22"/>
      <c r="D18" s="22"/>
      <c r="E18" s="22"/>
      <c r="F18" s="22"/>
      <c r="G18" s="22"/>
      <c r="H18" s="22"/>
      <c r="I18" s="22"/>
      <c r="J18" s="22"/>
      <c r="K18" s="22"/>
      <c r="L18" s="22"/>
      <c r="M18" s="22"/>
      <c r="N18" s="22"/>
      <c r="O18" s="22"/>
      <c r="P18" s="217" t="s">
        <v>411</v>
      </c>
      <c r="Q18" s="22"/>
      <c r="R18" s="22"/>
      <c r="S18" s="22"/>
      <c r="T18" s="22"/>
      <c r="U18" s="22"/>
      <c r="V18" s="22"/>
      <c r="W18" s="22"/>
      <c r="X18" s="22"/>
      <c r="Y18" s="22"/>
      <c r="Z18" s="22"/>
    </row>
    <row r="19" spans="1:26" ht="14.25" customHeight="1" x14ac:dyDescent="0.3">
      <c r="A19" s="22"/>
      <c r="B19" s="217" t="s">
        <v>412</v>
      </c>
      <c r="C19" s="300"/>
      <c r="D19" s="300"/>
      <c r="E19" s="22"/>
      <c r="F19" s="22"/>
      <c r="G19" s="22"/>
      <c r="H19" s="22"/>
      <c r="I19" s="22"/>
      <c r="J19" s="22"/>
      <c r="K19" s="22"/>
      <c r="L19" s="22"/>
      <c r="M19" s="22"/>
      <c r="N19" s="22"/>
      <c r="O19" s="22"/>
      <c r="P19" s="214" t="s">
        <v>413</v>
      </c>
      <c r="Q19" s="22"/>
      <c r="R19" s="22"/>
      <c r="S19" s="22"/>
      <c r="T19" s="22"/>
      <c r="U19" s="22"/>
      <c r="V19" s="22"/>
      <c r="W19" s="22"/>
      <c r="X19" s="22"/>
      <c r="Y19" s="22"/>
      <c r="Z19" s="22"/>
    </row>
    <row r="20" spans="1:26" ht="14.25" customHeight="1" x14ac:dyDescent="0.3">
      <c r="A20" s="22"/>
      <c r="B20" s="22"/>
      <c r="C20" s="22"/>
      <c r="D20" s="22"/>
      <c r="E20" s="22"/>
      <c r="F20" s="22"/>
      <c r="G20" s="22"/>
      <c r="H20" s="22"/>
      <c r="I20" s="22"/>
      <c r="J20" s="22"/>
      <c r="K20" s="22"/>
      <c r="L20" s="22"/>
      <c r="M20" s="22"/>
      <c r="N20" s="22"/>
      <c r="O20" s="22"/>
      <c r="P20" s="214" t="s">
        <v>414</v>
      </c>
      <c r="Q20" s="22"/>
      <c r="R20" s="22"/>
      <c r="S20" s="22"/>
      <c r="T20" s="22"/>
      <c r="U20" s="22"/>
      <c r="V20" s="22"/>
      <c r="W20" s="22"/>
      <c r="X20" s="22"/>
      <c r="Y20" s="22"/>
      <c r="Z20" s="22"/>
    </row>
    <row r="21" spans="1:26" ht="14.25" customHeight="1" x14ac:dyDescent="0.3">
      <c r="A21" s="22"/>
      <c r="B21" s="302" t="s">
        <v>415</v>
      </c>
      <c r="C21" s="302"/>
      <c r="D21" s="302"/>
      <c r="E21" s="300"/>
      <c r="F21" s="300"/>
      <c r="G21" s="22"/>
      <c r="H21" s="22"/>
      <c r="I21" s="22"/>
      <c r="J21" s="22"/>
      <c r="K21" s="22"/>
      <c r="L21" s="22"/>
      <c r="M21" s="22"/>
      <c r="N21" s="22"/>
      <c r="O21" s="22"/>
      <c r="P21" s="214"/>
      <c r="Q21" s="22"/>
      <c r="R21" s="22"/>
      <c r="S21" s="22"/>
      <c r="T21" s="22"/>
      <c r="U21" s="22"/>
      <c r="V21" s="22"/>
      <c r="W21" s="22"/>
      <c r="X21" s="22"/>
      <c r="Y21" s="22"/>
      <c r="Z21" s="22"/>
    </row>
    <row r="22" spans="1:26" ht="14.25" customHeight="1" x14ac:dyDescent="0.3">
      <c r="A22" s="303" t="s">
        <v>416</v>
      </c>
      <c r="B22" s="303"/>
      <c r="C22" s="303"/>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303"/>
      <c r="B23" s="303"/>
      <c r="C23" s="303"/>
      <c r="D23" s="300"/>
      <c r="E23" s="300"/>
      <c r="F23" s="303" t="s">
        <v>417</v>
      </c>
      <c r="G23" s="303"/>
      <c r="H23" s="300"/>
      <c r="I23" s="300"/>
      <c r="J23" s="22"/>
      <c r="K23" s="22"/>
      <c r="L23" s="22"/>
      <c r="M23" s="22"/>
      <c r="N23" s="22"/>
      <c r="O23" s="22"/>
      <c r="P23" s="22"/>
      <c r="Q23" s="22"/>
      <c r="R23" s="22"/>
      <c r="S23" s="22"/>
      <c r="T23" s="22"/>
      <c r="U23" s="22"/>
      <c r="V23" s="22"/>
      <c r="W23" s="22"/>
      <c r="X23" s="22"/>
      <c r="Y23" s="22"/>
      <c r="Z23" s="22"/>
    </row>
    <row r="24" spans="1:26" ht="14.25"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22"/>
      <c r="B25" s="303" t="s">
        <v>418</v>
      </c>
      <c r="C25" s="303"/>
      <c r="D25" s="300"/>
      <c r="E25" s="300"/>
      <c r="F25" s="22"/>
      <c r="G25" s="217" t="s">
        <v>419</v>
      </c>
      <c r="H25" s="300"/>
      <c r="I25" s="300"/>
      <c r="J25" s="22"/>
      <c r="K25" s="22"/>
      <c r="L25" s="22"/>
      <c r="M25" s="22"/>
      <c r="N25" s="22"/>
      <c r="O25" s="22"/>
      <c r="P25" s="22"/>
      <c r="Q25" s="22"/>
      <c r="R25" s="22"/>
      <c r="S25" s="22"/>
      <c r="T25" s="22"/>
      <c r="U25" s="22"/>
      <c r="V25" s="22"/>
      <c r="W25" s="22"/>
      <c r="X25" s="22"/>
      <c r="Y25" s="22"/>
      <c r="Z25" s="22"/>
    </row>
    <row r="26" spans="1:26" ht="14.25" customHeight="1" x14ac:dyDescent="0.3">
      <c r="A26" s="22"/>
      <c r="B26" s="214"/>
      <c r="C26" s="214"/>
      <c r="D26" s="218"/>
      <c r="E26" s="218"/>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303" t="s">
        <v>420</v>
      </c>
      <c r="C27" s="303"/>
      <c r="D27" s="300"/>
      <c r="E27" s="300"/>
      <c r="F27" s="22"/>
      <c r="G27" s="219" t="s">
        <v>421</v>
      </c>
      <c r="H27" s="300"/>
      <c r="I27" s="300"/>
      <c r="J27" s="22"/>
      <c r="K27" s="22"/>
      <c r="L27" s="22"/>
      <c r="M27" s="22"/>
      <c r="N27" s="22"/>
      <c r="O27" s="22"/>
      <c r="P27" s="22"/>
      <c r="Q27" s="22"/>
      <c r="R27" s="22"/>
      <c r="S27" s="22"/>
      <c r="T27" s="22"/>
      <c r="U27" s="22"/>
      <c r="V27" s="22"/>
      <c r="W27" s="22"/>
      <c r="X27" s="22"/>
      <c r="Y27" s="22"/>
      <c r="Z27" s="22"/>
    </row>
    <row r="28" spans="1:26" ht="14.25"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303" t="s">
        <v>422</v>
      </c>
      <c r="C29" s="303"/>
      <c r="D29" s="300"/>
      <c r="E29" s="300"/>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303" t="s">
        <v>423</v>
      </c>
      <c r="C31" s="303"/>
      <c r="D31" s="303"/>
      <c r="E31" s="303"/>
      <c r="F31" s="300"/>
      <c r="G31" s="300"/>
      <c r="H31" s="300"/>
      <c r="I31" s="300"/>
      <c r="J31" s="300"/>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173" t="s">
        <v>424</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17" t="s">
        <v>410</v>
      </c>
      <c r="C35" s="300"/>
      <c r="D35" s="300"/>
      <c r="E35" s="214" t="s">
        <v>407</v>
      </c>
      <c r="F35" s="300"/>
      <c r="G35" s="300"/>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17" t="s">
        <v>412</v>
      </c>
      <c r="C37" s="300"/>
      <c r="D37" s="300"/>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302" t="s">
        <v>415</v>
      </c>
      <c r="C39" s="302"/>
      <c r="D39" s="302"/>
      <c r="E39" s="300"/>
      <c r="F39" s="300"/>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303" t="s">
        <v>416</v>
      </c>
      <c r="B40" s="303"/>
      <c r="C40" s="303"/>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303"/>
      <c r="B41" s="303"/>
      <c r="C41" s="303"/>
      <c r="D41" s="300"/>
      <c r="E41" s="300"/>
      <c r="F41" s="303" t="s">
        <v>417</v>
      </c>
      <c r="G41" s="303"/>
      <c r="H41" s="300"/>
      <c r="I41" s="300"/>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303" t="s">
        <v>418</v>
      </c>
      <c r="C43" s="303"/>
      <c r="D43" s="300"/>
      <c r="E43" s="300"/>
      <c r="F43" s="22"/>
      <c r="G43" s="217" t="s">
        <v>419</v>
      </c>
      <c r="H43" s="300"/>
      <c r="I43" s="300"/>
      <c r="J43" s="22"/>
      <c r="K43" s="22"/>
      <c r="L43" s="22"/>
      <c r="M43" s="22"/>
      <c r="N43" s="22"/>
      <c r="O43" s="22"/>
      <c r="P43" s="22"/>
      <c r="Q43" s="22"/>
      <c r="R43" s="22"/>
      <c r="S43" s="22"/>
      <c r="T43" s="22"/>
      <c r="U43" s="22"/>
      <c r="V43" s="22"/>
      <c r="W43" s="22"/>
      <c r="X43" s="22"/>
      <c r="Y43" s="22"/>
      <c r="Z43" s="22"/>
    </row>
    <row r="44" spans="1:26" ht="14.25" customHeight="1" x14ac:dyDescent="0.3">
      <c r="A44" s="22"/>
      <c r="B44" s="214"/>
      <c r="C44" s="214"/>
      <c r="D44" s="218"/>
      <c r="E44" s="218"/>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303" t="s">
        <v>420</v>
      </c>
      <c r="C45" s="303"/>
      <c r="D45" s="300"/>
      <c r="E45" s="300"/>
      <c r="F45" s="22"/>
      <c r="G45" s="219" t="s">
        <v>421</v>
      </c>
      <c r="H45" s="300"/>
      <c r="I45" s="300"/>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303" t="s">
        <v>422</v>
      </c>
      <c r="C47" s="303"/>
      <c r="D47" s="300"/>
      <c r="E47" s="300"/>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303" t="s">
        <v>423</v>
      </c>
      <c r="C49" s="303"/>
      <c r="D49" s="303"/>
      <c r="E49" s="303"/>
      <c r="F49" s="300"/>
      <c r="G49" s="300"/>
      <c r="H49" s="300"/>
      <c r="I49" s="300"/>
      <c r="J49" s="300"/>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44">
    <mergeCell ref="B47:C47"/>
    <mergeCell ref="D47:E47"/>
    <mergeCell ref="B49:E49"/>
    <mergeCell ref="F49:J49"/>
    <mergeCell ref="H41:I41"/>
    <mergeCell ref="B43:C43"/>
    <mergeCell ref="D43:E43"/>
    <mergeCell ref="H43:I43"/>
    <mergeCell ref="B45:C45"/>
    <mergeCell ref="D45:E45"/>
    <mergeCell ref="H45:I45"/>
    <mergeCell ref="B39:D39"/>
    <mergeCell ref="E39:F39"/>
    <mergeCell ref="A40:C41"/>
    <mergeCell ref="D41:E41"/>
    <mergeCell ref="F41:G41"/>
    <mergeCell ref="B31:E31"/>
    <mergeCell ref="F31:J31"/>
    <mergeCell ref="C35:D35"/>
    <mergeCell ref="F35:G35"/>
    <mergeCell ref="C37:D37"/>
    <mergeCell ref="B27:C27"/>
    <mergeCell ref="D27:E27"/>
    <mergeCell ref="H27:I27"/>
    <mergeCell ref="B29:C29"/>
    <mergeCell ref="D29:E29"/>
    <mergeCell ref="A22:C23"/>
    <mergeCell ref="D23:E23"/>
    <mergeCell ref="F23:G23"/>
    <mergeCell ref="H23:I23"/>
    <mergeCell ref="B25:C25"/>
    <mergeCell ref="D25:E25"/>
    <mergeCell ref="H25:I25"/>
    <mergeCell ref="C17:D17"/>
    <mergeCell ref="F17:G17"/>
    <mergeCell ref="C19:D19"/>
    <mergeCell ref="B21:D21"/>
    <mergeCell ref="E21:F21"/>
    <mergeCell ref="C4:D4"/>
    <mergeCell ref="D6:J7"/>
    <mergeCell ref="C11:D11"/>
    <mergeCell ref="F11:G11"/>
    <mergeCell ref="C13:D13"/>
    <mergeCell ref="F13:J13"/>
  </mergeCells>
  <dataValidations count="1">
    <dataValidation type="list" allowBlank="1" showInputMessage="1" showErrorMessage="1" sqref="D29:E29 D47:E47" xr:uid="{00000000-0002-0000-0900-000000000000}">
      <formula1>$P$18:$P$20</formula1>
      <formula2>0</formula2>
    </dataValidation>
  </dataValidation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Z160"/>
  <sheetViews>
    <sheetView showGridLines="0" zoomScaleNormal="100" workbookViewId="0">
      <selection activeCell="F12" sqref="F12"/>
    </sheetView>
  </sheetViews>
  <sheetFormatPr baseColWidth="10" defaultColWidth="10.6640625" defaultRowHeight="14.4" x14ac:dyDescent="0.3"/>
  <cols>
    <col min="2" max="2" width="26.6640625" customWidth="1"/>
    <col min="3" max="3" width="58.5546875" customWidth="1"/>
  </cols>
  <sheetData>
    <row r="1" spans="1:26" ht="15" customHeight="1" x14ac:dyDescent="0.3">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ht="15" customHeight="1" x14ac:dyDescent="0.3">
      <c r="A2" s="22"/>
      <c r="B2" s="220" t="s">
        <v>425</v>
      </c>
      <c r="C2" s="221"/>
      <c r="D2" s="22"/>
      <c r="E2" s="22"/>
      <c r="F2" s="22"/>
      <c r="G2" s="22"/>
      <c r="H2" s="22"/>
      <c r="I2" s="22"/>
      <c r="J2" s="22"/>
      <c r="K2" s="22"/>
      <c r="L2" s="22"/>
      <c r="M2" s="22"/>
      <c r="N2" s="22"/>
      <c r="O2" s="22"/>
      <c r="P2" s="22"/>
      <c r="Q2" s="22"/>
      <c r="R2" s="22"/>
      <c r="S2" s="22"/>
      <c r="T2" s="22"/>
      <c r="U2" s="22"/>
      <c r="V2" s="22"/>
      <c r="W2" s="22"/>
      <c r="X2" s="22"/>
      <c r="Y2" s="22"/>
      <c r="Z2" s="22"/>
    </row>
    <row r="3" spans="1:26" ht="15" customHeight="1" x14ac:dyDescent="0.3">
      <c r="A3" s="22"/>
      <c r="B3" s="222"/>
      <c r="C3" s="223"/>
      <c r="D3" s="22"/>
      <c r="E3" s="22"/>
      <c r="F3" s="22"/>
      <c r="G3" s="22"/>
      <c r="H3" s="22"/>
      <c r="I3" s="22"/>
      <c r="J3" s="22"/>
      <c r="K3" s="22"/>
      <c r="L3" s="22"/>
      <c r="M3" s="22"/>
      <c r="N3" s="22"/>
      <c r="O3" s="22"/>
      <c r="P3" s="22"/>
      <c r="Q3" s="22"/>
      <c r="R3" s="22"/>
      <c r="S3" s="22"/>
      <c r="T3" s="22"/>
      <c r="U3" s="22"/>
      <c r="V3" s="22"/>
      <c r="W3" s="22"/>
      <c r="X3" s="22"/>
      <c r="Y3" s="22"/>
      <c r="Z3" s="22"/>
    </row>
    <row r="4" spans="1:26" ht="72.75" customHeight="1" x14ac:dyDescent="0.3">
      <c r="A4" s="22"/>
      <c r="B4" s="224" t="s">
        <v>426</v>
      </c>
      <c r="C4" s="225" t="s">
        <v>427</v>
      </c>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22"/>
      <c r="B5" s="226" t="s">
        <v>428</v>
      </c>
      <c r="C5" s="226"/>
      <c r="D5" s="22"/>
      <c r="E5" s="22"/>
      <c r="F5" s="22"/>
      <c r="G5" s="22"/>
      <c r="H5" s="22"/>
      <c r="I5" s="22"/>
      <c r="J5" s="22"/>
      <c r="K5" s="22"/>
      <c r="L5" s="22"/>
      <c r="M5" s="22"/>
      <c r="N5" s="22"/>
      <c r="O5" s="22"/>
      <c r="P5" s="22"/>
      <c r="Q5" s="22"/>
      <c r="R5" s="22"/>
      <c r="S5" s="22"/>
      <c r="T5" s="22"/>
      <c r="U5" s="22"/>
      <c r="V5" s="22"/>
      <c r="W5" s="22"/>
      <c r="X5" s="22"/>
      <c r="Y5" s="22"/>
      <c r="Z5" s="22"/>
    </row>
    <row r="6" spans="1:26" ht="14.25" customHeight="1" x14ac:dyDescent="0.3">
      <c r="A6" s="22"/>
      <c r="B6" s="226" t="s">
        <v>429</v>
      </c>
      <c r="C6" s="304" t="s">
        <v>430</v>
      </c>
      <c r="D6" s="22"/>
      <c r="E6" s="22"/>
      <c r="F6" s="22"/>
      <c r="G6" s="22"/>
      <c r="H6" s="22"/>
      <c r="I6" s="22"/>
      <c r="J6" s="22"/>
      <c r="K6" s="22"/>
      <c r="L6" s="22"/>
      <c r="M6" s="22"/>
      <c r="N6" s="22"/>
      <c r="O6" s="22"/>
      <c r="P6" s="22"/>
      <c r="Q6" s="22"/>
      <c r="R6" s="22"/>
      <c r="S6" s="22"/>
      <c r="T6" s="22"/>
      <c r="U6" s="22"/>
      <c r="V6" s="22"/>
      <c r="W6" s="22"/>
      <c r="X6" s="22"/>
      <c r="Y6" s="22"/>
      <c r="Z6" s="22"/>
    </row>
    <row r="7" spans="1:26" ht="30" customHeight="1" x14ac:dyDescent="0.3">
      <c r="A7" s="22"/>
      <c r="B7" s="226"/>
      <c r="C7" s="304"/>
      <c r="D7" s="22"/>
      <c r="E7" s="22"/>
      <c r="F7" s="22"/>
      <c r="G7" s="22"/>
      <c r="H7" s="22"/>
      <c r="I7" s="22"/>
      <c r="J7" s="22"/>
      <c r="K7" s="22"/>
      <c r="L7" s="22"/>
      <c r="M7" s="22"/>
      <c r="N7" s="22"/>
      <c r="O7" s="22"/>
      <c r="P7" s="22"/>
      <c r="Q7" s="22"/>
      <c r="R7" s="22"/>
      <c r="S7" s="22"/>
      <c r="T7" s="22"/>
      <c r="U7" s="22"/>
      <c r="V7" s="22"/>
      <c r="W7" s="22"/>
      <c r="X7" s="22"/>
      <c r="Y7" s="22"/>
      <c r="Z7" s="22"/>
    </row>
    <row r="8" spans="1:26" ht="32.25" customHeight="1" x14ac:dyDescent="0.3">
      <c r="A8" s="22"/>
      <c r="B8" s="226"/>
      <c r="C8" s="227" t="s">
        <v>431</v>
      </c>
      <c r="D8" s="218"/>
      <c r="E8" s="22"/>
      <c r="F8" s="22"/>
      <c r="G8" s="22"/>
      <c r="H8" s="22"/>
      <c r="I8" s="22"/>
      <c r="J8" s="22"/>
      <c r="K8" s="22"/>
      <c r="L8" s="22"/>
      <c r="M8" s="22"/>
      <c r="N8" s="22"/>
      <c r="O8" s="22"/>
      <c r="P8" s="22"/>
      <c r="Q8" s="22"/>
      <c r="R8" s="22"/>
      <c r="S8" s="22"/>
      <c r="T8" s="22"/>
      <c r="U8" s="22"/>
      <c r="V8" s="22"/>
      <c r="W8" s="22"/>
      <c r="X8" s="22"/>
      <c r="Y8" s="22"/>
      <c r="Z8" s="22"/>
    </row>
    <row r="9" spans="1:26" ht="81" customHeight="1" x14ac:dyDescent="0.3">
      <c r="A9" s="22"/>
      <c r="B9" s="226"/>
      <c r="C9" s="228" t="s">
        <v>432</v>
      </c>
      <c r="D9" s="22"/>
      <c r="E9" s="22"/>
      <c r="F9" s="22"/>
      <c r="G9" s="22"/>
      <c r="H9" s="22"/>
      <c r="I9" s="22"/>
      <c r="J9" s="22"/>
      <c r="K9" s="22"/>
      <c r="L9" s="22"/>
      <c r="M9" s="22"/>
      <c r="N9" s="22"/>
      <c r="O9" s="22"/>
      <c r="P9" s="22"/>
      <c r="Q9" s="22"/>
      <c r="R9" s="22"/>
      <c r="S9" s="22"/>
      <c r="T9" s="22"/>
      <c r="U9" s="22"/>
      <c r="V9" s="22"/>
      <c r="W9" s="22"/>
      <c r="X9" s="22"/>
      <c r="Y9" s="22"/>
      <c r="Z9" s="22"/>
    </row>
    <row r="10" spans="1:26" ht="15" hidden="1" customHeight="1" x14ac:dyDescent="0.3">
      <c r="A10" s="22"/>
      <c r="B10" s="229"/>
      <c r="C10" s="229"/>
      <c r="D10" s="22"/>
      <c r="E10" s="22"/>
      <c r="F10" s="22"/>
      <c r="G10" s="22"/>
      <c r="H10" s="22"/>
      <c r="I10" s="22"/>
      <c r="J10" s="22"/>
      <c r="K10" s="22"/>
      <c r="L10" s="22"/>
      <c r="M10" s="22"/>
      <c r="N10" s="22"/>
      <c r="O10" s="22"/>
      <c r="P10" s="22"/>
      <c r="Q10" s="22"/>
      <c r="R10" s="22"/>
      <c r="S10" s="22"/>
      <c r="T10" s="22"/>
      <c r="U10" s="22"/>
      <c r="V10" s="22"/>
      <c r="W10" s="22"/>
      <c r="X10" s="22"/>
      <c r="Y10" s="22"/>
      <c r="Z10" s="22"/>
    </row>
    <row r="11" spans="1:26" ht="24" customHeight="1" x14ac:dyDescent="0.3">
      <c r="A11" s="22"/>
      <c r="B11" s="230"/>
      <c r="C11" s="223"/>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22"/>
      <c r="B12" s="224"/>
      <c r="C12" s="231" t="s">
        <v>433</v>
      </c>
      <c r="D12" s="22"/>
      <c r="E12" s="22"/>
      <c r="F12" s="22"/>
      <c r="G12" s="22"/>
      <c r="H12" s="22"/>
      <c r="I12" s="22"/>
      <c r="J12" s="22"/>
      <c r="K12" s="22"/>
      <c r="L12" s="22"/>
      <c r="M12" s="22"/>
      <c r="N12" s="22"/>
      <c r="O12" s="22"/>
      <c r="P12" s="22"/>
      <c r="Q12" s="22"/>
      <c r="R12" s="22"/>
      <c r="S12" s="22"/>
      <c r="T12" s="22"/>
      <c r="U12" s="22"/>
      <c r="V12" s="22"/>
      <c r="W12" s="22"/>
      <c r="X12" s="22"/>
      <c r="Y12" s="22"/>
      <c r="Z12" s="22"/>
    </row>
    <row r="13" spans="1:26" ht="15" customHeight="1" x14ac:dyDescent="0.3">
      <c r="A13" s="22"/>
      <c r="B13" s="226"/>
      <c r="C13" s="232" t="s">
        <v>434</v>
      </c>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22"/>
      <c r="B14" s="226"/>
      <c r="C14" s="231" t="s">
        <v>435</v>
      </c>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22"/>
      <c r="B15" s="226" t="s">
        <v>436</v>
      </c>
      <c r="C15" s="233" t="s">
        <v>437</v>
      </c>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26"/>
      <c r="C16" s="233" t="s">
        <v>438</v>
      </c>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22"/>
      <c r="B17" s="226"/>
      <c r="C17" s="233" t="s">
        <v>439</v>
      </c>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22"/>
      <c r="B18" s="226"/>
      <c r="C18" s="233" t="s">
        <v>440</v>
      </c>
      <c r="D18" s="22"/>
      <c r="E18" s="22"/>
      <c r="F18" s="22"/>
      <c r="G18" s="22"/>
      <c r="H18" s="22"/>
      <c r="I18" s="22"/>
      <c r="J18" s="22"/>
      <c r="K18" s="22"/>
      <c r="L18" s="22"/>
      <c r="M18" s="22"/>
      <c r="N18" s="22"/>
      <c r="O18" s="22"/>
      <c r="P18" s="22"/>
      <c r="Q18" s="22"/>
      <c r="R18" s="22"/>
      <c r="S18" s="22"/>
      <c r="T18" s="22"/>
      <c r="U18" s="22"/>
      <c r="V18" s="22"/>
      <c r="W18" s="22"/>
      <c r="X18" s="22"/>
      <c r="Y18" s="22"/>
      <c r="Z18" s="22"/>
    </row>
    <row r="19" spans="1:26" ht="15" customHeight="1" x14ac:dyDescent="0.3">
      <c r="A19" s="22"/>
      <c r="B19" s="226"/>
      <c r="C19" s="232" t="s">
        <v>441</v>
      </c>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22"/>
      <c r="B20" s="226"/>
      <c r="C20" s="233" t="s">
        <v>442</v>
      </c>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26"/>
      <c r="C21" s="233" t="s">
        <v>443</v>
      </c>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2"/>
      <c r="B22" s="226"/>
      <c r="C22" s="233" t="s">
        <v>444</v>
      </c>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22"/>
      <c r="B23" s="226"/>
      <c r="C23" s="233" t="s">
        <v>445</v>
      </c>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22"/>
      <c r="B24" s="226"/>
      <c r="C24" s="233" t="s">
        <v>440</v>
      </c>
      <c r="D24" s="22"/>
      <c r="E24" s="22"/>
      <c r="F24" s="22"/>
      <c r="G24" s="22"/>
      <c r="H24" s="22"/>
      <c r="I24" s="22"/>
      <c r="J24" s="22"/>
      <c r="K24" s="22"/>
      <c r="L24" s="22"/>
      <c r="M24" s="22"/>
      <c r="N24" s="22"/>
      <c r="O24" s="22"/>
      <c r="P24" s="22"/>
      <c r="Q24" s="22"/>
      <c r="R24" s="22"/>
      <c r="S24" s="22"/>
      <c r="T24" s="22"/>
      <c r="U24" s="22"/>
      <c r="V24" s="22"/>
      <c r="W24" s="22"/>
      <c r="X24" s="22"/>
      <c r="Y24" s="22"/>
      <c r="Z24" s="22"/>
    </row>
    <row r="25" spans="1:26" ht="15" customHeight="1" x14ac:dyDescent="0.3">
      <c r="A25" s="22"/>
      <c r="B25" s="226"/>
      <c r="C25" s="232" t="s">
        <v>441</v>
      </c>
      <c r="D25" s="22"/>
      <c r="E25" s="22"/>
      <c r="F25" s="22"/>
      <c r="G25" s="22"/>
      <c r="H25" s="22"/>
      <c r="I25" s="22"/>
      <c r="J25" s="22"/>
      <c r="K25" s="22"/>
      <c r="L25" s="22"/>
      <c r="M25" s="22"/>
      <c r="N25" s="22"/>
      <c r="O25" s="22"/>
      <c r="P25" s="22"/>
      <c r="Q25" s="22"/>
      <c r="R25" s="22"/>
      <c r="S25" s="22"/>
      <c r="T25" s="22"/>
      <c r="U25" s="22"/>
      <c r="V25" s="22"/>
      <c r="W25" s="22"/>
      <c r="X25" s="22"/>
      <c r="Y25" s="22"/>
      <c r="Z25" s="22"/>
    </row>
    <row r="26" spans="1:26" ht="28.5" customHeight="1" x14ac:dyDescent="0.3">
      <c r="A26" s="22"/>
      <c r="B26" s="226"/>
      <c r="C26" s="225" t="s">
        <v>446</v>
      </c>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6"/>
      <c r="C27" s="227" t="s">
        <v>447</v>
      </c>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22"/>
      <c r="B28" s="226"/>
      <c r="C28" s="226" t="s">
        <v>448</v>
      </c>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22"/>
      <c r="B29" s="226"/>
      <c r="C29" s="226" t="s">
        <v>449</v>
      </c>
      <c r="D29" s="22"/>
      <c r="E29" s="22"/>
      <c r="F29" s="22"/>
      <c r="G29" s="22"/>
      <c r="H29" s="22"/>
      <c r="I29" s="22"/>
      <c r="J29" s="22"/>
      <c r="K29" s="22"/>
      <c r="L29" s="22"/>
      <c r="M29" s="22"/>
      <c r="N29" s="22"/>
      <c r="O29" s="22"/>
      <c r="P29" s="22"/>
      <c r="Q29" s="22"/>
      <c r="R29" s="22"/>
      <c r="S29" s="22"/>
      <c r="T29" s="22"/>
      <c r="U29" s="22"/>
      <c r="V29" s="22"/>
      <c r="W29" s="22"/>
      <c r="X29" s="22"/>
      <c r="Y29" s="22"/>
      <c r="Z29" s="22"/>
    </row>
    <row r="30" spans="1:26" ht="15" customHeight="1" x14ac:dyDescent="0.3">
      <c r="A30" s="22"/>
      <c r="B30" s="229"/>
      <c r="C30" s="229" t="s">
        <v>450</v>
      </c>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22"/>
      <c r="B34" s="22" t="s">
        <v>451</v>
      </c>
      <c r="C34" s="234" t="s">
        <v>452</v>
      </c>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22"/>
      <c r="B35" s="22" t="s">
        <v>453</v>
      </c>
      <c r="C35" s="234" t="s">
        <v>454</v>
      </c>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mergeCells count="1">
    <mergeCell ref="C6:C7"/>
  </mergeCells>
  <hyperlinks>
    <hyperlink ref="C34" r:id="rId1" xr:uid="{00000000-0004-0000-0A00-000000000000}"/>
    <hyperlink ref="C35" r:id="rId2" xr:uid="{00000000-0004-0000-0A00-000001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00"/>
  </sheetPr>
  <dimension ref="A1:Z183"/>
  <sheetViews>
    <sheetView showGridLines="0" zoomScaleNormal="100" workbookViewId="0">
      <selection activeCell="A4" sqref="A4"/>
    </sheetView>
  </sheetViews>
  <sheetFormatPr baseColWidth="10" defaultColWidth="9.109375" defaultRowHeight="14.4" x14ac:dyDescent="0.3"/>
  <cols>
    <col min="1" max="1" width="60" customWidth="1"/>
    <col min="2" max="2" width="16" customWidth="1"/>
    <col min="3" max="3" width="52" customWidth="1"/>
  </cols>
  <sheetData>
    <row r="1" spans="1:26" ht="18" customHeight="1" x14ac:dyDescent="0.35">
      <c r="A1" s="269" t="s">
        <v>455</v>
      </c>
      <c r="B1" s="269"/>
      <c r="C1" s="269"/>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260" t="s">
        <v>456</v>
      </c>
      <c r="B3" s="260"/>
      <c r="C3" s="260"/>
      <c r="D3" s="22"/>
      <c r="E3" s="22"/>
      <c r="F3" s="22"/>
      <c r="G3" s="22"/>
      <c r="H3" s="22"/>
      <c r="I3" s="22"/>
      <c r="J3" s="22"/>
      <c r="K3" s="22"/>
      <c r="L3" s="22"/>
      <c r="M3" s="22"/>
      <c r="N3" s="22"/>
      <c r="O3" s="22"/>
      <c r="P3" s="22"/>
      <c r="Q3" s="22"/>
      <c r="R3" s="22"/>
      <c r="S3" s="22"/>
      <c r="T3" s="22"/>
      <c r="U3" s="22"/>
      <c r="V3" s="22"/>
      <c r="W3" s="22"/>
      <c r="X3" s="22"/>
      <c r="Y3" s="22"/>
      <c r="Z3" s="22"/>
    </row>
    <row r="4" spans="1:26" ht="14.25" customHeight="1" x14ac:dyDescent="0.3">
      <c r="A4" s="132" t="s">
        <v>457</v>
      </c>
      <c r="B4" s="26">
        <v>30</v>
      </c>
      <c r="C4" s="22"/>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132" t="s">
        <v>458</v>
      </c>
      <c r="B5" s="26">
        <v>30</v>
      </c>
      <c r="C5" s="22"/>
      <c r="D5" s="22"/>
      <c r="E5" s="22"/>
      <c r="F5" s="22"/>
      <c r="G5" s="22"/>
      <c r="H5" s="22"/>
      <c r="I5" s="22"/>
      <c r="J5" s="22"/>
      <c r="K5" s="22"/>
      <c r="L5" s="22"/>
      <c r="M5" s="22"/>
      <c r="N5" s="22"/>
      <c r="O5" s="22"/>
      <c r="P5" s="22"/>
      <c r="Q5" s="22"/>
      <c r="R5" s="22"/>
      <c r="S5" s="22"/>
      <c r="T5" s="22"/>
      <c r="U5" s="22"/>
      <c r="V5" s="22"/>
      <c r="W5" s="22"/>
      <c r="X5" s="22"/>
      <c r="Y5" s="22"/>
      <c r="Z5" s="22"/>
    </row>
    <row r="6" spans="1:26" ht="14.25" customHeight="1" x14ac:dyDescent="0.3">
      <c r="A6" s="132" t="s">
        <v>459</v>
      </c>
      <c r="B6" s="26">
        <v>20</v>
      </c>
      <c r="C6" s="22"/>
      <c r="D6" s="22"/>
      <c r="E6" s="22"/>
      <c r="F6" s="22"/>
      <c r="G6" s="22"/>
      <c r="H6" s="22"/>
      <c r="I6" s="22"/>
      <c r="J6" s="22"/>
      <c r="K6" s="22"/>
      <c r="L6" s="22"/>
      <c r="M6" s="22"/>
      <c r="N6" s="22"/>
      <c r="O6" s="22"/>
      <c r="P6" s="22"/>
      <c r="Q6" s="22"/>
      <c r="R6" s="22"/>
      <c r="S6" s="22"/>
      <c r="T6" s="22"/>
      <c r="U6" s="22"/>
      <c r="V6" s="22"/>
      <c r="W6" s="22"/>
      <c r="X6" s="22"/>
      <c r="Y6" s="22"/>
      <c r="Z6" s="22"/>
    </row>
    <row r="7" spans="1:26" ht="14.25" customHeight="1" x14ac:dyDescent="0.3">
      <c r="A7" s="132" t="s">
        <v>460</v>
      </c>
      <c r="B7" s="26">
        <v>8</v>
      </c>
      <c r="C7" s="22"/>
      <c r="D7" s="22"/>
      <c r="E7" s="22"/>
      <c r="F7" s="22"/>
      <c r="G7" s="22"/>
      <c r="H7" s="22"/>
      <c r="I7" s="22"/>
      <c r="J7" s="22"/>
      <c r="K7" s="22"/>
      <c r="L7" s="22"/>
      <c r="M7" s="22"/>
      <c r="N7" s="22"/>
      <c r="O7" s="22"/>
      <c r="P7" s="22"/>
      <c r="Q7" s="22"/>
      <c r="R7" s="22"/>
      <c r="S7" s="22"/>
      <c r="T7" s="22"/>
      <c r="U7" s="22"/>
      <c r="V7" s="22"/>
      <c r="W7" s="22"/>
      <c r="X7" s="22"/>
      <c r="Y7" s="22"/>
      <c r="Z7" s="22"/>
    </row>
    <row r="8" spans="1:26" ht="14.25" customHeight="1" x14ac:dyDescent="0.3">
      <c r="A8" s="260" t="s">
        <v>461</v>
      </c>
      <c r="B8" s="260"/>
      <c r="C8" s="260"/>
      <c r="D8" s="22"/>
      <c r="E8" s="22"/>
      <c r="F8" s="22"/>
      <c r="G8" s="22"/>
      <c r="H8" s="22"/>
      <c r="I8" s="22"/>
      <c r="J8" s="22"/>
      <c r="K8" s="22"/>
      <c r="L8" s="22"/>
      <c r="M8" s="22"/>
      <c r="N8" s="22"/>
      <c r="O8" s="22"/>
      <c r="P8" s="22"/>
      <c r="Q8" s="22"/>
      <c r="R8" s="22"/>
      <c r="S8" s="22"/>
      <c r="T8" s="22"/>
      <c r="U8" s="22"/>
      <c r="V8" s="22"/>
      <c r="W8" s="22"/>
      <c r="X8" s="22"/>
      <c r="Y8" s="22"/>
      <c r="Z8" s="22"/>
    </row>
    <row r="9" spans="1:26" ht="14.25" customHeight="1" x14ac:dyDescent="0.3">
      <c r="A9" s="132" t="s">
        <v>462</v>
      </c>
      <c r="B9" s="26">
        <v>80</v>
      </c>
      <c r="C9" s="72" t="s">
        <v>463</v>
      </c>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132" t="s">
        <v>464</v>
      </c>
      <c r="B10" s="26">
        <v>65</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132" t="s">
        <v>465</v>
      </c>
      <c r="B11" s="26">
        <v>50</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132" t="s">
        <v>466</v>
      </c>
      <c r="B12" s="26">
        <v>40</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260" t="s">
        <v>467</v>
      </c>
      <c r="B13" s="260"/>
      <c r="C13" s="260"/>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132" t="s">
        <v>468</v>
      </c>
      <c r="B14" s="26">
        <v>0.5</v>
      </c>
      <c r="C14" s="72" t="s">
        <v>469</v>
      </c>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132" t="s">
        <v>470</v>
      </c>
      <c r="B15" s="26">
        <v>0.35</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132" t="s">
        <v>471</v>
      </c>
      <c r="B16" s="26">
        <v>0.08</v>
      </c>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132" t="s">
        <v>472</v>
      </c>
      <c r="B17" s="26">
        <v>0.08</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132" t="s">
        <v>473</v>
      </c>
      <c r="B18" s="26">
        <v>0.3</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132" t="s">
        <v>474</v>
      </c>
      <c r="B19" s="26">
        <v>0.1</v>
      </c>
      <c r="C19" s="72" t="s">
        <v>475</v>
      </c>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132" t="s">
        <v>476</v>
      </c>
      <c r="B20" s="26" t="s">
        <v>477</v>
      </c>
      <c r="C20" s="72" t="s">
        <v>478</v>
      </c>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132" t="s">
        <v>479</v>
      </c>
      <c r="B21" s="26" t="s">
        <v>480</v>
      </c>
      <c r="C21" s="72" t="s">
        <v>481</v>
      </c>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260" t="s">
        <v>482</v>
      </c>
      <c r="B22" s="260"/>
      <c r="C22" s="260"/>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132" t="s">
        <v>483</v>
      </c>
      <c r="B23" s="26">
        <v>400000</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132" t="s">
        <v>484</v>
      </c>
      <c r="B24" s="26">
        <v>60</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132" t="s">
        <v>485</v>
      </c>
      <c r="B25" s="26">
        <v>10</v>
      </c>
      <c r="C25" s="72" t="s">
        <v>486</v>
      </c>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260" t="s">
        <v>487</v>
      </c>
      <c r="B26" s="260"/>
      <c r="C26" s="260"/>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132" t="s">
        <v>488</v>
      </c>
      <c r="B27" s="26">
        <v>0.24260000000000001</v>
      </c>
      <c r="C27" s="72" t="s">
        <v>489</v>
      </c>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132" t="s">
        <v>490</v>
      </c>
      <c r="B28" s="26">
        <v>30000</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132" t="s">
        <v>491</v>
      </c>
      <c r="B29" s="26">
        <v>0.03</v>
      </c>
      <c r="C29" s="72" t="s">
        <v>492</v>
      </c>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260" t="s">
        <v>493</v>
      </c>
      <c r="B30" s="260"/>
      <c r="C30" s="260"/>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132" t="s">
        <v>494</v>
      </c>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132" t="s">
        <v>495</v>
      </c>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132" t="s">
        <v>496</v>
      </c>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132" t="s">
        <v>497</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132" t="s">
        <v>498</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132" t="s">
        <v>499</v>
      </c>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132" t="s">
        <v>500</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132" t="s">
        <v>501</v>
      </c>
      <c r="B38" s="26">
        <v>12</v>
      </c>
      <c r="C38" s="72" t="s">
        <v>502</v>
      </c>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260" t="s">
        <v>503</v>
      </c>
      <c r="B39" s="260"/>
      <c r="C39" s="260"/>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132" t="s">
        <v>504</v>
      </c>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132" t="s">
        <v>505</v>
      </c>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132" t="s">
        <v>506</v>
      </c>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132" t="s">
        <v>507</v>
      </c>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132" t="s">
        <v>508</v>
      </c>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132" t="s">
        <v>509</v>
      </c>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132" t="s">
        <v>510</v>
      </c>
      <c r="B46" s="26"/>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132" t="s">
        <v>511</v>
      </c>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60" t="s">
        <v>512</v>
      </c>
      <c r="B49" s="260"/>
      <c r="C49" s="260"/>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132" t="s">
        <v>513</v>
      </c>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132" t="s">
        <v>514</v>
      </c>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132" t="s">
        <v>515</v>
      </c>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132" t="s">
        <v>516</v>
      </c>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132" t="s">
        <v>517</v>
      </c>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132" t="s">
        <v>518</v>
      </c>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132" t="s">
        <v>519</v>
      </c>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132" t="s">
        <v>520</v>
      </c>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132" t="s">
        <v>521</v>
      </c>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260" t="s">
        <v>522</v>
      </c>
      <c r="B60" s="260"/>
      <c r="C60" s="260"/>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275" t="s">
        <v>523</v>
      </c>
      <c r="B61" s="275"/>
      <c r="C61" s="275"/>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87" t="s">
        <v>524</v>
      </c>
      <c r="B62" s="22"/>
      <c r="C62" s="72" t="s">
        <v>525</v>
      </c>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132" t="s">
        <v>526</v>
      </c>
      <c r="B63" s="235">
        <v>10</v>
      </c>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132" t="s">
        <v>527</v>
      </c>
      <c r="B64" s="235">
        <v>8</v>
      </c>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132" t="s">
        <v>528</v>
      </c>
      <c r="B65" s="235">
        <v>5</v>
      </c>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132" t="s">
        <v>529</v>
      </c>
      <c r="B66" s="235">
        <v>2</v>
      </c>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87" t="s">
        <v>530</v>
      </c>
      <c r="B67" s="22"/>
      <c r="C67" s="72" t="s">
        <v>531</v>
      </c>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132" t="s">
        <v>532</v>
      </c>
      <c r="B68" s="235">
        <v>10</v>
      </c>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132" t="s">
        <v>533</v>
      </c>
      <c r="B69" s="235">
        <v>7</v>
      </c>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132" t="s">
        <v>534</v>
      </c>
      <c r="B70" s="235">
        <v>4</v>
      </c>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132" t="s">
        <v>535</v>
      </c>
      <c r="B71" s="235">
        <v>0</v>
      </c>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87" t="s">
        <v>536</v>
      </c>
      <c r="B72" s="22"/>
      <c r="C72" s="72" t="s">
        <v>537</v>
      </c>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132" t="s">
        <v>538</v>
      </c>
      <c r="B73" s="235">
        <v>6</v>
      </c>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132" t="s">
        <v>539</v>
      </c>
      <c r="B74" s="235">
        <v>3</v>
      </c>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132" t="s">
        <v>540</v>
      </c>
      <c r="B75" s="235">
        <v>1</v>
      </c>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132" t="s">
        <v>541</v>
      </c>
      <c r="B76" s="235">
        <v>0</v>
      </c>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87" t="s">
        <v>542</v>
      </c>
      <c r="B77" s="22"/>
      <c r="C77" s="72" t="s">
        <v>543</v>
      </c>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132" t="s">
        <v>544</v>
      </c>
      <c r="B78" s="235">
        <v>5</v>
      </c>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132" t="s">
        <v>545</v>
      </c>
      <c r="B79" s="235">
        <v>4</v>
      </c>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132" t="s">
        <v>546</v>
      </c>
      <c r="B80" s="235">
        <v>2</v>
      </c>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132" t="s">
        <v>547</v>
      </c>
      <c r="B81" s="235">
        <v>1</v>
      </c>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275" t="s">
        <v>548</v>
      </c>
      <c r="B83" s="275"/>
      <c r="C83" s="275"/>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87" t="s">
        <v>549</v>
      </c>
      <c r="B84" s="22"/>
      <c r="C84" s="72" t="s">
        <v>550</v>
      </c>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132" t="s">
        <v>551</v>
      </c>
      <c r="B85" s="235">
        <v>15</v>
      </c>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132" t="s">
        <v>552</v>
      </c>
      <c r="B86" s="235">
        <v>10</v>
      </c>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132" t="s">
        <v>553</v>
      </c>
      <c r="B87" s="235">
        <v>6</v>
      </c>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132" t="s">
        <v>554</v>
      </c>
      <c r="B88" s="235">
        <v>2</v>
      </c>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132" t="s">
        <v>555</v>
      </c>
      <c r="B89" s="235">
        <v>0</v>
      </c>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87" t="s">
        <v>556</v>
      </c>
      <c r="B90" s="22"/>
      <c r="C90" s="72" t="s">
        <v>557</v>
      </c>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132" t="s">
        <v>558</v>
      </c>
      <c r="B91" s="235">
        <v>10</v>
      </c>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132" t="s">
        <v>559</v>
      </c>
      <c r="B92" s="235">
        <v>7</v>
      </c>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132" t="s">
        <v>560</v>
      </c>
      <c r="B93" s="235">
        <v>4</v>
      </c>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132" t="s">
        <v>561</v>
      </c>
      <c r="B94" s="235">
        <v>0</v>
      </c>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87" t="s">
        <v>562</v>
      </c>
      <c r="B95" s="22"/>
      <c r="C95" s="72" t="s">
        <v>563</v>
      </c>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132" t="s">
        <v>564</v>
      </c>
      <c r="B96" s="235">
        <v>8</v>
      </c>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132" t="s">
        <v>565</v>
      </c>
      <c r="B97" s="235">
        <v>5</v>
      </c>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132" t="s">
        <v>566</v>
      </c>
      <c r="B98" s="235">
        <v>3</v>
      </c>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132" t="s">
        <v>567</v>
      </c>
      <c r="B99" s="235">
        <v>3</v>
      </c>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132" t="s">
        <v>568</v>
      </c>
      <c r="B100" s="235">
        <v>1</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87" t="s">
        <v>569</v>
      </c>
      <c r="B101" s="22"/>
      <c r="C101" s="72" t="s">
        <v>570</v>
      </c>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132" t="s">
        <v>571</v>
      </c>
      <c r="B102" s="235">
        <v>6</v>
      </c>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132" t="s">
        <v>572</v>
      </c>
      <c r="B103" s="235">
        <v>4</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132" t="s">
        <v>573</v>
      </c>
      <c r="B104" s="235">
        <v>2</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132" t="s">
        <v>574</v>
      </c>
      <c r="B105" s="235">
        <v>0</v>
      </c>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87" t="s">
        <v>575</v>
      </c>
      <c r="B106" s="22"/>
      <c r="C106" s="72" t="s">
        <v>576</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132" t="s">
        <v>577</v>
      </c>
      <c r="B107" s="235">
        <v>4</v>
      </c>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132" t="s">
        <v>578</v>
      </c>
      <c r="B108" s="235">
        <v>3</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132" t="s">
        <v>579</v>
      </c>
      <c r="B109" s="235">
        <v>2</v>
      </c>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132" t="s">
        <v>580</v>
      </c>
      <c r="B110" s="235">
        <v>1</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132" t="s">
        <v>581</v>
      </c>
      <c r="B111" s="235">
        <v>0</v>
      </c>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87" t="s">
        <v>582</v>
      </c>
      <c r="B112" s="22"/>
      <c r="C112" s="72" t="s">
        <v>583</v>
      </c>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132" t="s">
        <v>584</v>
      </c>
      <c r="B113" s="235">
        <v>4</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132" t="s">
        <v>585</v>
      </c>
      <c r="B114" s="235">
        <v>3</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132" t="s">
        <v>586</v>
      </c>
      <c r="B115" s="235">
        <v>2</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132" t="s">
        <v>587</v>
      </c>
      <c r="B116" s="235">
        <v>0</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87" t="s">
        <v>588</v>
      </c>
      <c r="B117" s="22"/>
      <c r="C117" s="72" t="s">
        <v>589</v>
      </c>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132" t="s">
        <v>590</v>
      </c>
      <c r="B118" s="235">
        <v>2</v>
      </c>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132" t="s">
        <v>591</v>
      </c>
      <c r="B119" s="235">
        <v>1.5</v>
      </c>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132" t="s">
        <v>592</v>
      </c>
      <c r="B120" s="235">
        <v>1</v>
      </c>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132" t="s">
        <v>593</v>
      </c>
      <c r="B121" s="235">
        <v>0</v>
      </c>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87" t="s">
        <v>594</v>
      </c>
      <c r="B122" s="22"/>
      <c r="C122" s="72" t="s">
        <v>595</v>
      </c>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132" t="s">
        <v>596</v>
      </c>
      <c r="B123" s="235">
        <v>6</v>
      </c>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132" t="s">
        <v>597</v>
      </c>
      <c r="B124" s="235">
        <v>4</v>
      </c>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132" t="s">
        <v>598</v>
      </c>
      <c r="B125" s="235">
        <v>2</v>
      </c>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132" t="s">
        <v>599</v>
      </c>
      <c r="B126" s="235">
        <v>1</v>
      </c>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75" t="s">
        <v>600</v>
      </c>
      <c r="B128" s="275"/>
      <c r="C128" s="275"/>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87" t="s">
        <v>601</v>
      </c>
      <c r="B129" s="22"/>
      <c r="C129" s="72" t="s">
        <v>602</v>
      </c>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132" t="s">
        <v>603</v>
      </c>
      <c r="B130" s="235">
        <v>8</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132" t="s">
        <v>604</v>
      </c>
      <c r="B131" s="235">
        <v>4</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132" t="s">
        <v>605</v>
      </c>
      <c r="B132" s="235">
        <v>2</v>
      </c>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132" t="s">
        <v>606</v>
      </c>
      <c r="B133" s="235">
        <v>0</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87" t="s">
        <v>607</v>
      </c>
      <c r="B134" s="22"/>
      <c r="C134" s="72" t="s">
        <v>608</v>
      </c>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132" t="s">
        <v>609</v>
      </c>
      <c r="B135" s="235">
        <v>6</v>
      </c>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132" t="s">
        <v>610</v>
      </c>
      <c r="B136" s="235">
        <v>4</v>
      </c>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132" t="s">
        <v>611</v>
      </c>
      <c r="B137" s="235">
        <v>2</v>
      </c>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132" t="s">
        <v>612</v>
      </c>
      <c r="B138" s="235">
        <v>0</v>
      </c>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87" t="s">
        <v>613</v>
      </c>
      <c r="B139" s="22"/>
      <c r="C139" s="72" t="s">
        <v>614</v>
      </c>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132" t="s">
        <v>615</v>
      </c>
      <c r="B140" s="235">
        <v>3</v>
      </c>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132" t="s">
        <v>616</v>
      </c>
      <c r="B141" s="235">
        <v>2</v>
      </c>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132" t="s">
        <v>617</v>
      </c>
      <c r="B142" s="235">
        <v>1</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132" t="s">
        <v>618</v>
      </c>
      <c r="B143" s="235">
        <v>0</v>
      </c>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87" t="s">
        <v>619</v>
      </c>
      <c r="B144" s="22"/>
      <c r="C144" s="72" t="s">
        <v>620</v>
      </c>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132" t="s">
        <v>621</v>
      </c>
      <c r="B145" s="235">
        <v>3</v>
      </c>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132" t="s">
        <v>622</v>
      </c>
      <c r="B146" s="235">
        <v>2</v>
      </c>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132" t="s">
        <v>623</v>
      </c>
      <c r="B147" s="235">
        <v>1</v>
      </c>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132" t="s">
        <v>624</v>
      </c>
      <c r="B148" s="235">
        <v>0</v>
      </c>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75" t="s">
        <v>625</v>
      </c>
      <c r="B150" s="275"/>
      <c r="C150" s="275"/>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87" t="s">
        <v>626</v>
      </c>
      <c r="B151" s="22"/>
      <c r="C151" s="72" t="s">
        <v>627</v>
      </c>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132" t="s">
        <v>628</v>
      </c>
      <c r="B152" s="235">
        <v>3</v>
      </c>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132" t="s">
        <v>629</v>
      </c>
      <c r="B153" s="235">
        <v>2</v>
      </c>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132" t="s">
        <v>630</v>
      </c>
      <c r="B154" s="235">
        <v>1</v>
      </c>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132" t="s">
        <v>631</v>
      </c>
      <c r="B155" s="235">
        <v>0</v>
      </c>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87" t="s">
        <v>632</v>
      </c>
      <c r="B156" s="22"/>
      <c r="C156" s="72" t="s">
        <v>633</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132" t="s">
        <v>634</v>
      </c>
      <c r="B157" s="235">
        <v>5</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132" t="s">
        <v>635</v>
      </c>
      <c r="B158" s="235">
        <v>3</v>
      </c>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132" t="s">
        <v>636</v>
      </c>
      <c r="B159" s="235">
        <v>1</v>
      </c>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132" t="s">
        <v>637</v>
      </c>
      <c r="B160" s="235">
        <v>0</v>
      </c>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25" customHeight="1" x14ac:dyDescent="0.3">
      <c r="A161" s="87" t="s">
        <v>638</v>
      </c>
      <c r="B161" s="22"/>
      <c r="C161" s="72" t="s">
        <v>639</v>
      </c>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25" customHeight="1" x14ac:dyDescent="0.3">
      <c r="A162" s="132" t="s">
        <v>640</v>
      </c>
      <c r="B162" s="235">
        <v>5</v>
      </c>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25" customHeight="1" x14ac:dyDescent="0.3">
      <c r="A163" s="132" t="s">
        <v>641</v>
      </c>
      <c r="B163" s="235">
        <v>4</v>
      </c>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25" customHeight="1" x14ac:dyDescent="0.3">
      <c r="A164" s="132" t="s">
        <v>642</v>
      </c>
      <c r="B164" s="235">
        <v>3</v>
      </c>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4.25" customHeight="1" x14ac:dyDescent="0.3">
      <c r="A165" s="132"/>
      <c r="B165" s="235">
        <v>0</v>
      </c>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4.25" customHeight="1" x14ac:dyDescent="0.3">
      <c r="A166" s="87" t="s">
        <v>643</v>
      </c>
      <c r="B166" s="22"/>
      <c r="C166" s="72" t="s">
        <v>644</v>
      </c>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4.25" customHeight="1" x14ac:dyDescent="0.3">
      <c r="A167" s="132" t="s">
        <v>645</v>
      </c>
      <c r="B167" s="235">
        <v>4</v>
      </c>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4.25" customHeight="1" x14ac:dyDescent="0.3">
      <c r="A168" s="132" t="s">
        <v>646</v>
      </c>
      <c r="B168" s="235">
        <v>3</v>
      </c>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4.25" customHeight="1" x14ac:dyDescent="0.3">
      <c r="A169" s="132" t="s">
        <v>647</v>
      </c>
      <c r="B169" s="235">
        <v>1</v>
      </c>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4.25" customHeight="1" x14ac:dyDescent="0.3">
      <c r="A170" s="87" t="s">
        <v>648</v>
      </c>
      <c r="B170" s="22"/>
      <c r="C170" s="72" t="s">
        <v>649</v>
      </c>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4.25" customHeight="1" x14ac:dyDescent="0.3">
      <c r="A171" s="132" t="s">
        <v>650</v>
      </c>
      <c r="B171" s="235">
        <v>5</v>
      </c>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4.25" customHeight="1" x14ac:dyDescent="0.3">
      <c r="A172" s="132" t="s">
        <v>651</v>
      </c>
      <c r="B172" s="235">
        <v>4</v>
      </c>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4.25" customHeight="1" x14ac:dyDescent="0.3">
      <c r="A173" s="132" t="s">
        <v>652</v>
      </c>
      <c r="B173" s="235">
        <v>3</v>
      </c>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4.25" customHeight="1" x14ac:dyDescent="0.3">
      <c r="A174" s="132" t="s">
        <v>653</v>
      </c>
      <c r="B174" s="235">
        <v>2</v>
      </c>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4.25" customHeight="1" x14ac:dyDescent="0.3">
      <c r="A175" s="132" t="s">
        <v>654</v>
      </c>
      <c r="B175" s="235">
        <v>1</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7" spans="1:3" ht="14.25" customHeight="1" x14ac:dyDescent="0.3">
      <c r="A177" s="132" t="s">
        <v>655</v>
      </c>
      <c r="B177" s="26">
        <v>250000</v>
      </c>
      <c r="C177" s="22" t="s">
        <v>656</v>
      </c>
    </row>
    <row r="178" spans="1:3" ht="14.25" customHeight="1" x14ac:dyDescent="0.3">
      <c r="A178" s="73" t="s">
        <v>657</v>
      </c>
    </row>
    <row r="179" spans="1:3" ht="14.25" customHeight="1" x14ac:dyDescent="0.3">
      <c r="A179" s="163" t="s">
        <v>658</v>
      </c>
    </row>
    <row r="180" spans="1:3" ht="14.25" customHeight="1" x14ac:dyDescent="0.3">
      <c r="A180" s="163" t="s">
        <v>659</v>
      </c>
    </row>
    <row r="181" spans="1:3" ht="14.25" customHeight="1" x14ac:dyDescent="0.3">
      <c r="A181" s="163" t="s">
        <v>660</v>
      </c>
    </row>
    <row r="182" spans="1:3" ht="14.25" customHeight="1" x14ac:dyDescent="0.3">
      <c r="A182" s="163" t="s">
        <v>661</v>
      </c>
    </row>
    <row r="183" spans="1:3" ht="14.25" customHeight="1" x14ac:dyDescent="0.3">
      <c r="A183" s="163" t="s">
        <v>662</v>
      </c>
    </row>
  </sheetData>
  <mergeCells count="14">
    <mergeCell ref="A61:C61"/>
    <mergeCell ref="A83:C83"/>
    <mergeCell ref="A128:C128"/>
    <mergeCell ref="A150:C150"/>
    <mergeCell ref="A26:C26"/>
    <mergeCell ref="A30:C30"/>
    <mergeCell ref="A39:C39"/>
    <mergeCell ref="A49:C49"/>
    <mergeCell ref="A60:C60"/>
    <mergeCell ref="A1:C1"/>
    <mergeCell ref="A3:C3"/>
    <mergeCell ref="A8:C8"/>
    <mergeCell ref="A13:C13"/>
    <mergeCell ref="A22:C2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00"/>
  </sheetPr>
  <dimension ref="A1:Z160"/>
  <sheetViews>
    <sheetView topLeftCell="A119" zoomScaleNormal="100" workbookViewId="0">
      <selection activeCell="B138" sqref="B138"/>
    </sheetView>
  </sheetViews>
  <sheetFormatPr baseColWidth="10" defaultColWidth="9.109375" defaultRowHeight="14.4" x14ac:dyDescent="0.3"/>
  <cols>
    <col min="1" max="1" width="58" customWidth="1"/>
    <col min="2" max="2" width="10" customWidth="1"/>
  </cols>
  <sheetData>
    <row r="1" spans="1:26" ht="14.25" customHeight="1" x14ac:dyDescent="0.3">
      <c r="A1" s="87" t="s">
        <v>663</v>
      </c>
      <c r="B1" s="87" t="s">
        <v>664</v>
      </c>
      <c r="C1" s="22"/>
      <c r="D1" s="22"/>
      <c r="E1" s="22"/>
      <c r="F1" s="22"/>
      <c r="G1" s="22"/>
      <c r="H1" s="22"/>
      <c r="I1" s="22"/>
      <c r="J1" s="22"/>
      <c r="K1" s="22"/>
      <c r="L1" s="22"/>
      <c r="M1" s="22"/>
      <c r="N1" s="22"/>
      <c r="O1" s="22"/>
      <c r="P1" s="22"/>
      <c r="Q1" s="22"/>
      <c r="R1" s="22"/>
      <c r="S1" s="22"/>
      <c r="T1" s="22"/>
      <c r="U1" s="22"/>
      <c r="V1" s="22"/>
      <c r="W1" s="22"/>
      <c r="X1" s="22"/>
      <c r="Y1" s="22"/>
      <c r="Z1" s="22"/>
    </row>
    <row r="2" spans="1:26" ht="14.25" customHeight="1" x14ac:dyDescent="0.3">
      <c r="A2" s="132" t="s">
        <v>665</v>
      </c>
      <c r="B2" s="132">
        <v>10</v>
      </c>
      <c r="C2" s="22"/>
      <c r="D2" s="22"/>
      <c r="E2" s="22"/>
      <c r="F2" s="22"/>
      <c r="G2" s="22"/>
      <c r="H2" s="22"/>
      <c r="I2" s="22"/>
      <c r="J2" s="22"/>
      <c r="K2" s="22"/>
      <c r="L2" s="22"/>
      <c r="M2" s="22"/>
      <c r="N2" s="22"/>
      <c r="O2" s="22"/>
      <c r="P2" s="22"/>
      <c r="Q2" s="22"/>
      <c r="R2" s="22"/>
      <c r="S2" s="22"/>
      <c r="T2" s="22"/>
      <c r="U2" s="22"/>
      <c r="V2" s="22"/>
      <c r="W2" s="22"/>
      <c r="X2" s="22"/>
      <c r="Y2" s="22"/>
      <c r="Z2" s="22"/>
    </row>
    <row r="3" spans="1:26" ht="14.25" customHeight="1" x14ac:dyDescent="0.3">
      <c r="A3" s="132" t="s">
        <v>666</v>
      </c>
      <c r="B3" s="132">
        <v>8</v>
      </c>
      <c r="C3" s="22"/>
      <c r="D3" s="22"/>
      <c r="E3" s="22"/>
      <c r="F3" s="22"/>
      <c r="G3" s="22"/>
      <c r="H3" s="22"/>
      <c r="I3" s="22"/>
      <c r="J3" s="22"/>
      <c r="K3" s="22"/>
      <c r="L3" s="22"/>
      <c r="M3" s="22"/>
      <c r="N3" s="22"/>
      <c r="O3" s="22"/>
      <c r="P3" s="22"/>
      <c r="Q3" s="22"/>
      <c r="R3" s="22"/>
      <c r="S3" s="22"/>
      <c r="T3" s="22"/>
      <c r="U3" s="22"/>
      <c r="V3" s="22"/>
      <c r="W3" s="22"/>
      <c r="X3" s="22"/>
      <c r="Y3" s="22"/>
      <c r="Z3" s="22"/>
    </row>
    <row r="4" spans="1:26" ht="14.25" customHeight="1" x14ac:dyDescent="0.3">
      <c r="A4" s="132" t="s">
        <v>667</v>
      </c>
      <c r="B4" s="132">
        <v>5</v>
      </c>
      <c r="C4" s="22"/>
      <c r="D4" s="22"/>
      <c r="E4" s="22"/>
      <c r="F4" s="22"/>
      <c r="G4" s="22"/>
      <c r="H4" s="22"/>
      <c r="I4" s="22"/>
      <c r="J4" s="22"/>
      <c r="K4" s="22"/>
      <c r="L4" s="22"/>
      <c r="M4" s="22"/>
      <c r="N4" s="22"/>
      <c r="O4" s="22"/>
      <c r="P4" s="22"/>
      <c r="Q4" s="22"/>
      <c r="R4" s="22"/>
      <c r="S4" s="22"/>
      <c r="T4" s="22"/>
      <c r="U4" s="22"/>
      <c r="V4" s="22"/>
      <c r="W4" s="22"/>
      <c r="X4" s="22"/>
      <c r="Y4" s="22"/>
      <c r="Z4" s="22"/>
    </row>
    <row r="5" spans="1:26" ht="14.25" customHeight="1" x14ac:dyDescent="0.3">
      <c r="A5" s="132" t="s">
        <v>668</v>
      </c>
      <c r="B5" s="132">
        <v>2</v>
      </c>
      <c r="C5" s="22"/>
      <c r="D5" s="22"/>
      <c r="E5" s="22"/>
      <c r="F5" s="22"/>
      <c r="G5" s="22"/>
      <c r="H5" s="22"/>
      <c r="I5" s="22"/>
      <c r="J5" s="22"/>
      <c r="K5" s="22"/>
      <c r="L5" s="22"/>
      <c r="M5" s="22"/>
      <c r="N5" s="22"/>
      <c r="O5" s="22"/>
      <c r="P5" s="22"/>
      <c r="Q5" s="22"/>
      <c r="R5" s="22"/>
      <c r="S5" s="22"/>
      <c r="T5" s="22"/>
      <c r="U5" s="22"/>
      <c r="V5" s="22"/>
      <c r="W5" s="22"/>
      <c r="X5" s="22"/>
      <c r="Y5" s="22"/>
      <c r="Z5" s="22"/>
    </row>
    <row r="6" spans="1:26" ht="14.25" customHeight="1" x14ac:dyDescent="0.3">
      <c r="A6" s="22"/>
      <c r="B6" s="22"/>
      <c r="C6" s="22"/>
      <c r="D6" s="22"/>
      <c r="E6" s="22"/>
      <c r="F6" s="22"/>
      <c r="G6" s="22"/>
      <c r="H6" s="22"/>
      <c r="I6" s="22"/>
      <c r="J6" s="22"/>
      <c r="K6" s="22"/>
      <c r="L6" s="22"/>
      <c r="M6" s="22"/>
      <c r="N6" s="22"/>
      <c r="O6" s="22"/>
      <c r="P6" s="22"/>
      <c r="Q6" s="22"/>
      <c r="R6" s="22"/>
      <c r="S6" s="22"/>
      <c r="T6" s="22"/>
      <c r="U6" s="22"/>
      <c r="V6" s="22"/>
      <c r="W6" s="22"/>
      <c r="X6" s="22"/>
      <c r="Y6" s="22"/>
      <c r="Z6" s="22"/>
    </row>
    <row r="7" spans="1:26" ht="14.25" customHeight="1" x14ac:dyDescent="0.3">
      <c r="A7" s="132" t="s">
        <v>669</v>
      </c>
      <c r="B7" s="132">
        <v>10</v>
      </c>
      <c r="C7" s="22"/>
      <c r="D7" s="22"/>
      <c r="E7" s="22"/>
      <c r="F7" s="22"/>
      <c r="G7" s="22"/>
      <c r="H7" s="22"/>
      <c r="I7" s="22"/>
      <c r="J7" s="22"/>
      <c r="K7" s="22"/>
      <c r="L7" s="22"/>
      <c r="M7" s="22"/>
      <c r="N7" s="22"/>
      <c r="O7" s="22"/>
      <c r="P7" s="22"/>
      <c r="Q7" s="22"/>
      <c r="R7" s="22"/>
      <c r="S7" s="22"/>
      <c r="T7" s="22"/>
      <c r="U7" s="22"/>
      <c r="V7" s="22"/>
      <c r="W7" s="22"/>
      <c r="X7" s="22"/>
      <c r="Y7" s="22"/>
      <c r="Z7" s="22"/>
    </row>
    <row r="8" spans="1:26" ht="14.25" customHeight="1" x14ac:dyDescent="0.3">
      <c r="A8" s="132" t="s">
        <v>670</v>
      </c>
      <c r="B8" s="132">
        <v>7</v>
      </c>
      <c r="C8" s="22"/>
      <c r="D8" s="22"/>
      <c r="E8" s="22"/>
      <c r="F8" s="22"/>
      <c r="G8" s="22"/>
      <c r="H8" s="22"/>
      <c r="I8" s="22"/>
      <c r="J8" s="22"/>
      <c r="K8" s="22"/>
      <c r="L8" s="22"/>
      <c r="M8" s="22"/>
      <c r="N8" s="22"/>
      <c r="O8" s="22"/>
      <c r="P8" s="22"/>
      <c r="Q8" s="22"/>
      <c r="R8" s="22"/>
      <c r="S8" s="22"/>
      <c r="T8" s="22"/>
      <c r="U8" s="22"/>
      <c r="V8" s="22"/>
      <c r="W8" s="22"/>
      <c r="X8" s="22"/>
      <c r="Y8" s="22"/>
      <c r="Z8" s="22"/>
    </row>
    <row r="9" spans="1:26" ht="14.25" customHeight="1" x14ac:dyDescent="0.3">
      <c r="A9" s="132" t="s">
        <v>671</v>
      </c>
      <c r="B9" s="132">
        <v>4</v>
      </c>
      <c r="C9" s="22"/>
      <c r="D9" s="22"/>
      <c r="E9" s="22"/>
      <c r="F9" s="22"/>
      <c r="G9" s="22"/>
      <c r="H9" s="22"/>
      <c r="I9" s="22"/>
      <c r="J9" s="22"/>
      <c r="K9" s="22"/>
      <c r="L9" s="22"/>
      <c r="M9" s="22"/>
      <c r="N9" s="22"/>
      <c r="O9" s="22"/>
      <c r="P9" s="22"/>
      <c r="Q9" s="22"/>
      <c r="R9" s="22"/>
      <c r="S9" s="22"/>
      <c r="T9" s="22"/>
      <c r="U9" s="22"/>
      <c r="V9" s="22"/>
      <c r="W9" s="22"/>
      <c r="X9" s="22"/>
      <c r="Y9" s="22"/>
      <c r="Z9" s="22"/>
    </row>
    <row r="10" spans="1:26" ht="14.25" customHeight="1" x14ac:dyDescent="0.3">
      <c r="A10" s="132" t="s">
        <v>672</v>
      </c>
      <c r="B10" s="132">
        <v>0</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4.25" customHeight="1"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4.25" customHeight="1" x14ac:dyDescent="0.3">
      <c r="A12" s="132" t="s">
        <v>673</v>
      </c>
      <c r="B12" s="132">
        <v>6</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ustomHeight="1" x14ac:dyDescent="0.3">
      <c r="A13" s="132" t="s">
        <v>674</v>
      </c>
      <c r="B13" s="132">
        <v>3</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ustomHeight="1" x14ac:dyDescent="0.3">
      <c r="A14" s="132" t="s">
        <v>675</v>
      </c>
      <c r="B14" s="132">
        <v>1</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ustomHeight="1" x14ac:dyDescent="0.3">
      <c r="A15" s="132" t="s">
        <v>676</v>
      </c>
      <c r="B15" s="132">
        <v>0</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ustomHeight="1"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ustomHeight="1" x14ac:dyDescent="0.3">
      <c r="A17" s="132" t="s">
        <v>677</v>
      </c>
      <c r="B17" s="132">
        <v>5</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ustomHeight="1" x14ac:dyDescent="0.3">
      <c r="A18" s="132" t="s">
        <v>678</v>
      </c>
      <c r="B18" s="132">
        <v>4</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ustomHeight="1" x14ac:dyDescent="0.3">
      <c r="A19" s="132" t="s">
        <v>679</v>
      </c>
      <c r="B19" s="132">
        <v>2</v>
      </c>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ustomHeight="1" x14ac:dyDescent="0.3">
      <c r="A20" s="132" t="s">
        <v>680</v>
      </c>
      <c r="B20" s="132">
        <v>1</v>
      </c>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4.25"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4.25" customHeight="1" x14ac:dyDescent="0.3">
      <c r="A22" s="132" t="s">
        <v>681</v>
      </c>
      <c r="B22" s="132">
        <v>15</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4.25" customHeight="1" x14ac:dyDescent="0.3">
      <c r="A23" s="132" t="s">
        <v>682</v>
      </c>
      <c r="B23" s="132">
        <v>10</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4.25" customHeight="1" x14ac:dyDescent="0.3">
      <c r="A24" s="132" t="s">
        <v>683</v>
      </c>
      <c r="B24" s="132">
        <v>6</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4.25" customHeight="1" x14ac:dyDescent="0.3">
      <c r="A25" s="132" t="s">
        <v>684</v>
      </c>
      <c r="B25" s="132">
        <v>2</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4.25" customHeight="1" x14ac:dyDescent="0.3">
      <c r="A26" s="132" t="s">
        <v>685</v>
      </c>
      <c r="B26" s="132">
        <v>0</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4.25"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4.25" customHeight="1" x14ac:dyDescent="0.3">
      <c r="A28" s="132" t="s">
        <v>686</v>
      </c>
      <c r="B28" s="132">
        <v>10</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4.25" customHeight="1" x14ac:dyDescent="0.3">
      <c r="A29" s="132" t="s">
        <v>687</v>
      </c>
      <c r="B29" s="132">
        <v>7</v>
      </c>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4.25" customHeight="1" x14ac:dyDescent="0.3">
      <c r="A30" s="132" t="s">
        <v>688</v>
      </c>
      <c r="B30" s="132">
        <v>4</v>
      </c>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4.25" customHeight="1" x14ac:dyDescent="0.3">
      <c r="A31" s="132" t="s">
        <v>689</v>
      </c>
      <c r="B31" s="132">
        <v>0</v>
      </c>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4.25"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4.25" customHeight="1" x14ac:dyDescent="0.3">
      <c r="A33" s="132" t="s">
        <v>690</v>
      </c>
      <c r="B33" s="132">
        <v>8</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4.25" customHeight="1" x14ac:dyDescent="0.3">
      <c r="A34" s="132" t="s">
        <v>691</v>
      </c>
      <c r="B34" s="132">
        <v>5</v>
      </c>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4.25" customHeight="1" x14ac:dyDescent="0.3">
      <c r="A35" s="132" t="s">
        <v>692</v>
      </c>
      <c r="B35" s="132">
        <v>3</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4.25" customHeight="1" x14ac:dyDescent="0.3">
      <c r="A36" s="132" t="s">
        <v>693</v>
      </c>
      <c r="B36" s="132">
        <v>3</v>
      </c>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4.25" customHeight="1" x14ac:dyDescent="0.3">
      <c r="A37" s="132" t="s">
        <v>694</v>
      </c>
      <c r="B37" s="132">
        <v>1</v>
      </c>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4.25" customHeight="1"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4.25" customHeight="1" x14ac:dyDescent="0.3">
      <c r="A39" s="132" t="s">
        <v>695</v>
      </c>
      <c r="B39" s="132">
        <v>6</v>
      </c>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4.25" customHeight="1" x14ac:dyDescent="0.3">
      <c r="A40" s="132" t="s">
        <v>696</v>
      </c>
      <c r="B40" s="132">
        <v>4</v>
      </c>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4.25" customHeight="1" x14ac:dyDescent="0.3">
      <c r="A41" s="132" t="s">
        <v>697</v>
      </c>
      <c r="B41" s="132">
        <v>2</v>
      </c>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4.25" customHeight="1" x14ac:dyDescent="0.3">
      <c r="A42" s="132" t="s">
        <v>698</v>
      </c>
      <c r="B42" s="132">
        <v>0</v>
      </c>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4.25" customHeight="1"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4.25" customHeight="1" x14ac:dyDescent="0.3">
      <c r="A44" s="132" t="s">
        <v>699</v>
      </c>
      <c r="B44" s="132">
        <v>4</v>
      </c>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4.25" customHeight="1" x14ac:dyDescent="0.3">
      <c r="A45" s="132" t="s">
        <v>700</v>
      </c>
      <c r="B45" s="132">
        <v>3</v>
      </c>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4.25" customHeight="1" x14ac:dyDescent="0.3">
      <c r="A46" s="132" t="s">
        <v>701</v>
      </c>
      <c r="B46" s="132">
        <v>2</v>
      </c>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4.25" customHeight="1" x14ac:dyDescent="0.3">
      <c r="A47" s="132" t="s">
        <v>702</v>
      </c>
      <c r="B47" s="132">
        <v>1</v>
      </c>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4.25" customHeight="1" x14ac:dyDescent="0.3">
      <c r="A48" s="132" t="s">
        <v>703</v>
      </c>
      <c r="B48" s="132">
        <v>0</v>
      </c>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4.25" customHeight="1"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4.25" customHeight="1" x14ac:dyDescent="0.3">
      <c r="A50" s="132" t="s">
        <v>704</v>
      </c>
      <c r="B50" s="132">
        <v>4</v>
      </c>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4.25" customHeight="1" x14ac:dyDescent="0.3">
      <c r="A51" s="132" t="s">
        <v>705</v>
      </c>
      <c r="B51" s="132">
        <v>3</v>
      </c>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4.25" customHeight="1" x14ac:dyDescent="0.3">
      <c r="A52" s="132" t="s">
        <v>706</v>
      </c>
      <c r="B52" s="132">
        <v>2</v>
      </c>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4.25" customHeight="1" x14ac:dyDescent="0.3">
      <c r="A53" s="132" t="s">
        <v>707</v>
      </c>
      <c r="B53" s="132">
        <v>0</v>
      </c>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4.25" customHeight="1"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4.25" customHeight="1" x14ac:dyDescent="0.3">
      <c r="A55" s="132" t="s">
        <v>708</v>
      </c>
      <c r="B55" s="132">
        <v>2</v>
      </c>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4.25" customHeight="1" x14ac:dyDescent="0.3">
      <c r="A56" s="132" t="s">
        <v>709</v>
      </c>
      <c r="B56" s="132">
        <v>1.5</v>
      </c>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4.25" customHeight="1" x14ac:dyDescent="0.3">
      <c r="A57" s="132" t="s">
        <v>710</v>
      </c>
      <c r="B57" s="132">
        <v>1</v>
      </c>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4.25" customHeight="1" x14ac:dyDescent="0.3">
      <c r="A58" s="132" t="s">
        <v>711</v>
      </c>
      <c r="B58" s="132">
        <v>0</v>
      </c>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4.25" customHeight="1" x14ac:dyDescent="0.3">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4.25" customHeight="1" x14ac:dyDescent="0.3">
      <c r="A60" s="132" t="s">
        <v>712</v>
      </c>
      <c r="B60" s="132">
        <v>6</v>
      </c>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4.25" customHeight="1" x14ac:dyDescent="0.3">
      <c r="A61" s="132" t="s">
        <v>713</v>
      </c>
      <c r="B61" s="132">
        <v>4</v>
      </c>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4.25" customHeight="1" x14ac:dyDescent="0.3">
      <c r="A62" s="132" t="s">
        <v>714</v>
      </c>
      <c r="B62" s="132">
        <v>2</v>
      </c>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4.25" customHeight="1" x14ac:dyDescent="0.3">
      <c r="A63" s="132" t="s">
        <v>715</v>
      </c>
      <c r="B63" s="132">
        <v>1</v>
      </c>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4.25" customHeight="1" x14ac:dyDescent="0.3">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4.25" customHeight="1" x14ac:dyDescent="0.3">
      <c r="A65" s="132" t="s">
        <v>716</v>
      </c>
      <c r="B65" s="132">
        <v>8</v>
      </c>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4.25" customHeight="1" x14ac:dyDescent="0.3">
      <c r="A66" s="132" t="s">
        <v>717</v>
      </c>
      <c r="B66" s="132">
        <v>4</v>
      </c>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4.25" customHeight="1" x14ac:dyDescent="0.3">
      <c r="A67" s="132" t="s">
        <v>718</v>
      </c>
      <c r="B67" s="132">
        <v>2</v>
      </c>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4.25" customHeight="1" x14ac:dyDescent="0.3">
      <c r="A68" s="132" t="s">
        <v>719</v>
      </c>
      <c r="B68" s="132">
        <v>0</v>
      </c>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4.25" customHeight="1" x14ac:dyDescent="0.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4.25" customHeight="1" x14ac:dyDescent="0.3">
      <c r="A70" s="132" t="s">
        <v>720</v>
      </c>
      <c r="B70" s="132">
        <v>6</v>
      </c>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4.25" customHeight="1" x14ac:dyDescent="0.3">
      <c r="A71" s="132" t="s">
        <v>721</v>
      </c>
      <c r="B71" s="132">
        <v>4</v>
      </c>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4.25" customHeight="1" x14ac:dyDescent="0.3">
      <c r="A72" s="132" t="s">
        <v>722</v>
      </c>
      <c r="B72" s="132">
        <v>2</v>
      </c>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4.25" customHeight="1" x14ac:dyDescent="0.3">
      <c r="A73" s="132" t="s">
        <v>723</v>
      </c>
      <c r="B73" s="132">
        <v>0</v>
      </c>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4.25" customHeight="1" x14ac:dyDescent="0.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4.25" customHeight="1" x14ac:dyDescent="0.3">
      <c r="A75" s="132" t="s">
        <v>724</v>
      </c>
      <c r="B75" s="132">
        <v>3</v>
      </c>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4.25" customHeight="1" x14ac:dyDescent="0.3">
      <c r="A76" s="132" t="s">
        <v>725</v>
      </c>
      <c r="B76" s="132">
        <v>2</v>
      </c>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4.25" customHeight="1" x14ac:dyDescent="0.3">
      <c r="A77" s="132" t="s">
        <v>726</v>
      </c>
      <c r="B77" s="132">
        <v>1</v>
      </c>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4.25" customHeight="1" x14ac:dyDescent="0.3">
      <c r="A78" s="132" t="s">
        <v>727</v>
      </c>
      <c r="B78" s="132">
        <v>0</v>
      </c>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4.25" customHeight="1" x14ac:dyDescent="0.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4.25" customHeight="1" x14ac:dyDescent="0.3">
      <c r="A80" s="132" t="s">
        <v>728</v>
      </c>
      <c r="B80" s="132">
        <v>3</v>
      </c>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4.25" customHeight="1" x14ac:dyDescent="0.3">
      <c r="A81" s="132" t="s">
        <v>729</v>
      </c>
      <c r="B81" s="132">
        <v>2</v>
      </c>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4.25" customHeight="1" x14ac:dyDescent="0.3">
      <c r="A82" s="132" t="s">
        <v>730</v>
      </c>
      <c r="B82" s="132">
        <v>1</v>
      </c>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4.25" customHeight="1" x14ac:dyDescent="0.3">
      <c r="A83" s="132" t="s">
        <v>731</v>
      </c>
      <c r="B83" s="132">
        <v>0</v>
      </c>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4.25" customHeight="1" x14ac:dyDescent="0.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4.25" customHeight="1" x14ac:dyDescent="0.3">
      <c r="A85" s="132" t="s">
        <v>732</v>
      </c>
      <c r="B85" s="132">
        <v>3</v>
      </c>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4.25" customHeight="1" x14ac:dyDescent="0.3">
      <c r="A86" s="132" t="s">
        <v>733</v>
      </c>
      <c r="B86" s="132">
        <v>2</v>
      </c>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4.25" customHeight="1" x14ac:dyDescent="0.3">
      <c r="A87" s="132" t="s">
        <v>734</v>
      </c>
      <c r="B87" s="132">
        <v>1</v>
      </c>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25" customHeight="1" x14ac:dyDescent="0.3">
      <c r="A88" s="132" t="s">
        <v>735</v>
      </c>
      <c r="B88" s="132">
        <v>0</v>
      </c>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25" customHeight="1" x14ac:dyDescent="0.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25" customHeight="1" x14ac:dyDescent="0.3">
      <c r="A90" s="132" t="s">
        <v>736</v>
      </c>
      <c r="B90" s="132">
        <v>5</v>
      </c>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25" customHeight="1" x14ac:dyDescent="0.3">
      <c r="A91" s="132" t="s">
        <v>737</v>
      </c>
      <c r="B91" s="132">
        <v>3</v>
      </c>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25" customHeight="1" x14ac:dyDescent="0.3">
      <c r="A92" s="132" t="s">
        <v>738</v>
      </c>
      <c r="B92" s="132">
        <v>1</v>
      </c>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25" customHeight="1" x14ac:dyDescent="0.3">
      <c r="A93" s="132" t="s">
        <v>739</v>
      </c>
      <c r="B93" s="132">
        <v>0</v>
      </c>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25" customHeight="1" x14ac:dyDescent="0.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25" customHeight="1" x14ac:dyDescent="0.3">
      <c r="A95" s="132" t="s">
        <v>740</v>
      </c>
      <c r="B95" s="132">
        <v>5</v>
      </c>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25" customHeight="1" x14ac:dyDescent="0.3">
      <c r="A96" s="132" t="s">
        <v>741</v>
      </c>
      <c r="B96" s="132">
        <v>1</v>
      </c>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25" customHeight="1" x14ac:dyDescent="0.3">
      <c r="A97" s="132" t="s">
        <v>742</v>
      </c>
      <c r="B97" s="132">
        <v>0</v>
      </c>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25" customHeight="1" x14ac:dyDescent="0.3">
      <c r="A98" s="132"/>
      <c r="B98" s="13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25" customHeight="1" x14ac:dyDescent="0.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25" customHeight="1" x14ac:dyDescent="0.3">
      <c r="A100" s="132" t="s">
        <v>743</v>
      </c>
      <c r="B100" s="132">
        <v>4</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25" customHeight="1" x14ac:dyDescent="0.3">
      <c r="A101" s="132" t="s">
        <v>744</v>
      </c>
      <c r="B101" s="132">
        <v>3</v>
      </c>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25" customHeight="1" x14ac:dyDescent="0.3">
      <c r="A102" s="132" t="s">
        <v>745</v>
      </c>
      <c r="B102" s="132">
        <v>1</v>
      </c>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25" customHeight="1" x14ac:dyDescent="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25" customHeight="1" x14ac:dyDescent="0.3">
      <c r="A104" s="132" t="s">
        <v>746</v>
      </c>
      <c r="B104" s="132">
        <v>5</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25" customHeight="1" x14ac:dyDescent="0.3">
      <c r="A105" s="132" t="s">
        <v>747</v>
      </c>
      <c r="B105" s="132">
        <v>4</v>
      </c>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25" customHeight="1" x14ac:dyDescent="0.3">
      <c r="A106" s="132" t="s">
        <v>748</v>
      </c>
      <c r="B106" s="132">
        <v>3</v>
      </c>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25" customHeight="1" x14ac:dyDescent="0.3">
      <c r="A107" s="132" t="s">
        <v>749</v>
      </c>
      <c r="B107" s="132">
        <v>2</v>
      </c>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25" customHeight="1" x14ac:dyDescent="0.3">
      <c r="A108" s="132" t="s">
        <v>750</v>
      </c>
      <c r="B108" s="132">
        <v>1</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25" customHeight="1" x14ac:dyDescent="0.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25" customHeight="1" x14ac:dyDescent="0.3">
      <c r="A110" s="132" t="s">
        <v>751</v>
      </c>
      <c r="B110" s="132" t="s">
        <v>752</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25" customHeight="1" x14ac:dyDescent="0.3">
      <c r="A111" s="132">
        <v>0</v>
      </c>
      <c r="B111" s="132">
        <v>0</v>
      </c>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25" customHeight="1" x14ac:dyDescent="0.3">
      <c r="A112" s="132">
        <v>1</v>
      </c>
      <c r="B112" s="132">
        <v>-6</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25" customHeight="1" x14ac:dyDescent="0.3">
      <c r="A113" s="132">
        <v>2</v>
      </c>
      <c r="B113" s="132">
        <v>-4</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25" customHeight="1" x14ac:dyDescent="0.3">
      <c r="A114" s="132">
        <v>3</v>
      </c>
      <c r="B114" s="132">
        <v>-2</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25" customHeight="1" x14ac:dyDescent="0.3">
      <c r="A115" s="132">
        <v>4</v>
      </c>
      <c r="B115" s="132">
        <v>0</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25" customHeight="1" x14ac:dyDescent="0.3">
      <c r="A116" s="132">
        <v>5</v>
      </c>
      <c r="B116" s="132">
        <v>2</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25" customHeight="1" x14ac:dyDescent="0.3">
      <c r="A117" s="132">
        <v>6</v>
      </c>
      <c r="B117" s="132">
        <v>3</v>
      </c>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25" customHeight="1" x14ac:dyDescent="0.3">
      <c r="A118" s="132">
        <v>7</v>
      </c>
      <c r="B118" s="132">
        <v>4</v>
      </c>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25" customHeight="1" x14ac:dyDescent="0.3">
      <c r="A119" s="132">
        <v>8</v>
      </c>
      <c r="B119" s="132">
        <v>0</v>
      </c>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25" customHeight="1" x14ac:dyDescent="0.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25" customHeight="1" x14ac:dyDescent="0.3">
      <c r="A121" s="132" t="s">
        <v>753</v>
      </c>
      <c r="B121" s="132">
        <v>3</v>
      </c>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25" customHeight="1" x14ac:dyDescent="0.3">
      <c r="A122" s="132" t="s">
        <v>754</v>
      </c>
      <c r="B122" s="132">
        <v>3</v>
      </c>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25" customHeight="1" x14ac:dyDescent="0.3">
      <c r="A123" s="132" t="s">
        <v>755</v>
      </c>
      <c r="B123" s="132">
        <v>0</v>
      </c>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25" customHeight="1" x14ac:dyDescent="0.3">
      <c r="A124" s="132" t="s">
        <v>756</v>
      </c>
      <c r="B124" s="132">
        <v>-4</v>
      </c>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25" customHeight="1" x14ac:dyDescent="0.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25" customHeight="1" x14ac:dyDescent="0.3">
      <c r="A126" s="132" t="s">
        <v>757</v>
      </c>
      <c r="B126" s="132">
        <v>2</v>
      </c>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25" customHeight="1" x14ac:dyDescent="0.3">
      <c r="A127" s="132" t="s">
        <v>758</v>
      </c>
      <c r="B127" s="132">
        <v>0</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25" customHeight="1" x14ac:dyDescent="0.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25" customHeight="1" x14ac:dyDescent="0.3">
      <c r="A129" s="132" t="s">
        <v>759</v>
      </c>
      <c r="B129" s="132">
        <v>3</v>
      </c>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25" customHeight="1" x14ac:dyDescent="0.3">
      <c r="A130" s="132" t="s">
        <v>760</v>
      </c>
      <c r="B130" s="132">
        <v>5</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25" customHeight="1" x14ac:dyDescent="0.3">
      <c r="A131" s="132" t="s">
        <v>761</v>
      </c>
      <c r="B131" s="132">
        <v>3</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25" customHeight="1" x14ac:dyDescent="0.3">
      <c r="A132" s="132" t="s">
        <v>762</v>
      </c>
      <c r="B132" s="132">
        <v>1</v>
      </c>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25" customHeight="1" x14ac:dyDescent="0.3">
      <c r="A133" s="132" t="s">
        <v>763</v>
      </c>
      <c r="B133" s="132">
        <v>0</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25" customHeight="1" x14ac:dyDescent="0.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25" customHeight="1" x14ac:dyDescent="0.3">
      <c r="A135" s="132" t="s">
        <v>764</v>
      </c>
      <c r="B135" s="132">
        <v>8</v>
      </c>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25" customHeight="1" x14ac:dyDescent="0.3">
      <c r="A136" s="132" t="s">
        <v>765</v>
      </c>
      <c r="B136" s="132">
        <v>4</v>
      </c>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25" customHeight="1" x14ac:dyDescent="0.3">
      <c r="A137" s="132" t="s">
        <v>766</v>
      </c>
      <c r="B137" s="132">
        <v>1</v>
      </c>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25" customHeight="1" x14ac:dyDescent="0.3">
      <c r="A138" s="132" t="s">
        <v>767</v>
      </c>
      <c r="B138" s="132">
        <v>4</v>
      </c>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25" customHeight="1" x14ac:dyDescent="0.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25" customHeight="1" x14ac:dyDescent="0.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25" customHeight="1" x14ac:dyDescent="0.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25" customHeight="1" x14ac:dyDescent="0.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25" customHeight="1" x14ac:dyDescent="0.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25" customHeight="1" x14ac:dyDescent="0.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25" customHeight="1" x14ac:dyDescent="0.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25" customHeight="1" x14ac:dyDescent="0.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25" customHeight="1" x14ac:dyDescent="0.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25" customHeight="1" x14ac:dyDescent="0.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25" customHeight="1" x14ac:dyDescent="0.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25" customHeight="1" x14ac:dyDescent="0.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25" customHeight="1" x14ac:dyDescent="0.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25" customHeight="1" x14ac:dyDescent="0.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25" customHeight="1" x14ac:dyDescent="0.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25" customHeight="1" x14ac:dyDescent="0.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25" customHeight="1" x14ac:dyDescent="0.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25" customHeight="1" x14ac:dyDescent="0.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25" customHeight="1" x14ac:dyDescent="0.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25" customHeight="1" x14ac:dyDescent="0.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25" customHeight="1" x14ac:dyDescent="0.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25" customHeight="1" x14ac:dyDescent="0.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B2:H37"/>
  <sheetViews>
    <sheetView showGridLines="0" zoomScaleNormal="100" workbookViewId="0"/>
  </sheetViews>
  <sheetFormatPr baseColWidth="10" defaultColWidth="9.109375" defaultRowHeight="14.4" x14ac:dyDescent="0.3"/>
  <cols>
    <col min="1" max="1" width="2" customWidth="1"/>
    <col min="2" max="2" width="26" customWidth="1"/>
    <col min="3" max="6" width="12" customWidth="1"/>
    <col min="7" max="7" width="14" customWidth="1"/>
    <col min="8" max="8" width="20" customWidth="1"/>
  </cols>
  <sheetData>
    <row r="2" spans="2:8" ht="25.5" customHeight="1" x14ac:dyDescent="0.4">
      <c r="B2" s="305" t="s">
        <v>768</v>
      </c>
      <c r="C2" s="305"/>
      <c r="D2" s="305"/>
      <c r="E2" s="305"/>
      <c r="F2" s="305"/>
      <c r="G2" s="305"/>
      <c r="H2" s="305"/>
    </row>
    <row r="3" spans="2:8" ht="14.25" customHeight="1" x14ac:dyDescent="0.3">
      <c r="B3" s="306" t="s">
        <v>769</v>
      </c>
      <c r="C3" s="306"/>
      <c r="D3" s="306"/>
      <c r="E3" s="306"/>
      <c r="F3" s="306"/>
      <c r="G3" s="306"/>
      <c r="H3" s="306"/>
    </row>
    <row r="5" spans="2:8" ht="14.25" customHeight="1" x14ac:dyDescent="0.3">
      <c r="B5" s="307" t="s">
        <v>770</v>
      </c>
      <c r="C5" s="307"/>
      <c r="D5" s="307"/>
      <c r="E5" s="307"/>
      <c r="F5" s="307"/>
      <c r="G5" s="307"/>
      <c r="H5" s="307"/>
    </row>
    <row r="6" spans="2:8" ht="42" customHeight="1" x14ac:dyDescent="0.3">
      <c r="B6" s="308" t="s">
        <v>771</v>
      </c>
      <c r="C6" s="308"/>
      <c r="D6" s="308"/>
      <c r="E6" s="308"/>
      <c r="F6" s="308"/>
      <c r="G6" s="308"/>
      <c r="H6" s="308"/>
    </row>
    <row r="8" spans="2:8" ht="14.25" customHeight="1" x14ac:dyDescent="0.3">
      <c r="B8" s="307" t="s">
        <v>772</v>
      </c>
      <c r="C8" s="307"/>
      <c r="D8" s="307"/>
      <c r="E8" s="307"/>
      <c r="F8" s="307"/>
      <c r="G8" s="307"/>
      <c r="H8" s="307"/>
    </row>
    <row r="9" spans="2:8" ht="14.25" customHeight="1" x14ac:dyDescent="0.3">
      <c r="B9" s="279" t="s">
        <v>773</v>
      </c>
      <c r="C9" s="279"/>
      <c r="D9" s="279"/>
      <c r="E9" s="279"/>
      <c r="F9" s="279"/>
      <c r="G9" s="279"/>
      <c r="H9" s="279"/>
    </row>
    <row r="10" spans="2:8" ht="14.25" customHeight="1" x14ac:dyDescent="0.3">
      <c r="B10" s="279" t="s">
        <v>774</v>
      </c>
      <c r="C10" s="279"/>
      <c r="D10" s="279"/>
      <c r="E10" s="279"/>
      <c r="F10" s="279"/>
      <c r="G10" s="279"/>
      <c r="H10" s="279"/>
    </row>
    <row r="11" spans="2:8" ht="14.25" customHeight="1" x14ac:dyDescent="0.3">
      <c r="B11" s="279" t="s">
        <v>775</v>
      </c>
      <c r="C11" s="279"/>
      <c r="D11" s="279"/>
      <c r="E11" s="279"/>
      <c r="F11" s="279"/>
      <c r="G11" s="279"/>
      <c r="H11" s="279"/>
    </row>
    <row r="13" spans="2:8" ht="14.25" customHeight="1" x14ac:dyDescent="0.3">
      <c r="B13" s="236" t="s">
        <v>776</v>
      </c>
      <c r="C13" s="277" t="s">
        <v>777</v>
      </c>
      <c r="D13" s="277"/>
      <c r="E13" s="277"/>
      <c r="F13" s="277"/>
      <c r="G13" s="277"/>
      <c r="H13" s="277"/>
    </row>
    <row r="15" spans="2:8" ht="14.25" customHeight="1" x14ac:dyDescent="0.3">
      <c r="B15" s="307" t="s">
        <v>778</v>
      </c>
      <c r="C15" s="307"/>
      <c r="D15" s="307"/>
      <c r="E15" s="307"/>
      <c r="F15" s="307"/>
      <c r="G15" s="307"/>
      <c r="H15" s="307"/>
    </row>
    <row r="16" spans="2:8" ht="14.25" customHeight="1" x14ac:dyDescent="0.3">
      <c r="B16" s="237" t="s">
        <v>779</v>
      </c>
      <c r="C16" s="237" t="s">
        <v>664</v>
      </c>
      <c r="D16" s="237" t="s">
        <v>780</v>
      </c>
      <c r="E16" s="237" t="s">
        <v>781</v>
      </c>
      <c r="F16" s="237" t="s">
        <v>782</v>
      </c>
      <c r="G16" s="237" t="s">
        <v>783</v>
      </c>
    </row>
    <row r="17" spans="2:8" ht="14.25" customHeight="1" x14ac:dyDescent="0.3">
      <c r="B17" s="238" t="s">
        <v>784</v>
      </c>
      <c r="C17" s="239">
        <v>24</v>
      </c>
      <c r="D17" s="239">
        <v>30</v>
      </c>
      <c r="E17" s="240">
        <v>0.8</v>
      </c>
      <c r="F17" s="239">
        <v>30</v>
      </c>
      <c r="G17" s="136">
        <v>2400</v>
      </c>
    </row>
    <row r="18" spans="2:8" ht="14.25" customHeight="1" x14ac:dyDescent="0.3">
      <c r="B18" s="238" t="s">
        <v>785</v>
      </c>
      <c r="C18" s="239">
        <v>10</v>
      </c>
      <c r="D18" s="239">
        <v>20</v>
      </c>
      <c r="E18" s="240">
        <v>0.5</v>
      </c>
      <c r="F18" s="239">
        <v>20</v>
      </c>
      <c r="G18" s="136">
        <v>1000</v>
      </c>
    </row>
    <row r="19" spans="2:8" ht="14.25" customHeight="1" x14ac:dyDescent="0.3">
      <c r="B19" s="241" t="s">
        <v>786</v>
      </c>
      <c r="C19" s="166"/>
      <c r="D19" s="166"/>
      <c r="E19" s="166"/>
      <c r="F19" s="242" t="s">
        <v>787</v>
      </c>
      <c r="G19" s="242">
        <v>3400</v>
      </c>
    </row>
    <row r="20" spans="2:8" ht="14.25" customHeight="1" x14ac:dyDescent="0.3">
      <c r="B20" s="309" t="s">
        <v>788</v>
      </c>
      <c r="C20" s="309"/>
      <c r="D20" s="309"/>
      <c r="E20" s="309"/>
      <c r="F20" s="309"/>
      <c r="G20" s="309"/>
      <c r="H20" s="309"/>
    </row>
    <row r="21" spans="2:8" ht="14.25" customHeight="1" x14ac:dyDescent="0.3">
      <c r="B21" s="306" t="s">
        <v>789</v>
      </c>
      <c r="C21" s="306"/>
      <c r="D21" s="306"/>
      <c r="E21" s="306"/>
      <c r="F21" s="306"/>
      <c r="G21" s="306"/>
      <c r="H21" s="306"/>
    </row>
    <row r="23" spans="2:8" ht="14.25" customHeight="1" x14ac:dyDescent="0.3">
      <c r="B23" s="307" t="s">
        <v>790</v>
      </c>
      <c r="C23" s="307"/>
      <c r="D23" s="307"/>
      <c r="E23" s="307"/>
      <c r="F23" s="307"/>
      <c r="G23" s="307"/>
      <c r="H23" s="307"/>
    </row>
    <row r="24" spans="2:8" ht="42" customHeight="1" x14ac:dyDescent="0.3">
      <c r="B24" s="308" t="s">
        <v>791</v>
      </c>
      <c r="C24" s="308"/>
      <c r="D24" s="308"/>
      <c r="E24" s="308"/>
      <c r="F24" s="308"/>
      <c r="G24" s="308"/>
      <c r="H24" s="308"/>
    </row>
    <row r="26" spans="2:8" ht="14.25" customHeight="1" x14ac:dyDescent="0.3">
      <c r="B26" s="307" t="s">
        <v>792</v>
      </c>
      <c r="C26" s="307"/>
      <c r="D26" s="307"/>
      <c r="E26" s="307"/>
      <c r="F26" s="307"/>
      <c r="G26" s="307"/>
      <c r="H26" s="307"/>
    </row>
    <row r="27" spans="2:8" ht="14.25" customHeight="1" x14ac:dyDescent="0.3">
      <c r="B27" s="306" t="s">
        <v>793</v>
      </c>
      <c r="C27" s="306"/>
      <c r="D27" s="306"/>
      <c r="E27" s="306"/>
      <c r="F27" s="306"/>
      <c r="G27" s="306"/>
      <c r="H27" s="306"/>
    </row>
    <row r="28" spans="2:8" ht="14.25" customHeight="1" x14ac:dyDescent="0.3">
      <c r="B28" s="237" t="s">
        <v>779</v>
      </c>
      <c r="C28" s="237" t="s">
        <v>664</v>
      </c>
      <c r="D28" s="237" t="s">
        <v>780</v>
      </c>
      <c r="E28" s="237" t="s">
        <v>781</v>
      </c>
      <c r="F28" s="237" t="s">
        <v>782</v>
      </c>
      <c r="G28" s="237" t="s">
        <v>783</v>
      </c>
    </row>
    <row r="29" spans="2:8" ht="14.25" customHeight="1" x14ac:dyDescent="0.3">
      <c r="B29" s="238" t="s">
        <v>794</v>
      </c>
      <c r="C29" s="239">
        <v>23</v>
      </c>
      <c r="D29" s="239">
        <v>31</v>
      </c>
      <c r="E29" s="243">
        <v>0.74199999999999999</v>
      </c>
      <c r="F29" s="239">
        <v>30</v>
      </c>
      <c r="G29" s="160">
        <v>22.3</v>
      </c>
    </row>
    <row r="30" spans="2:8" ht="14.25" customHeight="1" x14ac:dyDescent="0.3">
      <c r="B30" s="238" t="s">
        <v>784</v>
      </c>
      <c r="C30" s="239">
        <v>53</v>
      </c>
      <c r="D30" s="239">
        <v>55</v>
      </c>
      <c r="E30" s="243">
        <v>0.96399999999999997</v>
      </c>
      <c r="F30" s="239">
        <v>30</v>
      </c>
      <c r="G30" s="160">
        <v>28.9</v>
      </c>
    </row>
    <row r="31" spans="2:8" ht="14.25" customHeight="1" x14ac:dyDescent="0.3">
      <c r="B31" s="238" t="s">
        <v>785</v>
      </c>
      <c r="C31" s="239">
        <v>7</v>
      </c>
      <c r="D31" s="239">
        <v>20</v>
      </c>
      <c r="E31" s="243">
        <v>0.35</v>
      </c>
      <c r="F31" s="239">
        <v>20</v>
      </c>
      <c r="G31" s="160">
        <v>7</v>
      </c>
    </row>
    <row r="32" spans="2:8" ht="14.25" customHeight="1" x14ac:dyDescent="0.3">
      <c r="B32" s="238" t="s">
        <v>795</v>
      </c>
      <c r="C32" s="239">
        <v>20</v>
      </c>
      <c r="D32" s="239">
        <v>22</v>
      </c>
      <c r="E32" s="243">
        <v>0.90900000000000003</v>
      </c>
      <c r="F32" s="239">
        <v>8</v>
      </c>
      <c r="G32" s="160">
        <v>7.3</v>
      </c>
    </row>
    <row r="33" spans="2:8" ht="14.25" customHeight="1" x14ac:dyDescent="0.3">
      <c r="B33" s="241" t="s">
        <v>786</v>
      </c>
      <c r="C33" s="166"/>
      <c r="D33" s="166"/>
      <c r="E33" s="166"/>
      <c r="F33" s="242">
        <v>88</v>
      </c>
      <c r="G33" s="244">
        <v>65.5</v>
      </c>
    </row>
    <row r="34" spans="2:8" ht="14.25" customHeight="1" x14ac:dyDescent="0.3">
      <c r="B34" s="309" t="s">
        <v>796</v>
      </c>
      <c r="C34" s="309"/>
      <c r="D34" s="309"/>
      <c r="E34" s="309"/>
      <c r="F34" s="309"/>
      <c r="G34" s="309"/>
      <c r="H34" s="309"/>
    </row>
    <row r="36" spans="2:8" ht="14.25" customHeight="1" x14ac:dyDescent="0.3">
      <c r="B36" s="307" t="s">
        <v>797</v>
      </c>
      <c r="C36" s="307"/>
      <c r="D36" s="307"/>
      <c r="E36" s="307"/>
      <c r="F36" s="307"/>
      <c r="G36" s="307"/>
      <c r="H36" s="307"/>
    </row>
    <row r="37" spans="2:8" ht="42" customHeight="1" x14ac:dyDescent="0.3">
      <c r="B37" s="308" t="s">
        <v>798</v>
      </c>
      <c r="C37" s="308"/>
      <c r="D37" s="308"/>
      <c r="E37" s="308"/>
      <c r="F37" s="308"/>
      <c r="G37" s="308"/>
      <c r="H37" s="308"/>
    </row>
  </sheetData>
  <mergeCells count="19">
    <mergeCell ref="B27:H27"/>
    <mergeCell ref="B34:H34"/>
    <mergeCell ref="B36:H36"/>
    <mergeCell ref="B37:H37"/>
    <mergeCell ref="B20:H20"/>
    <mergeCell ref="B21:H21"/>
    <mergeCell ref="B23:H23"/>
    <mergeCell ref="B24:H24"/>
    <mergeCell ref="B26:H26"/>
    <mergeCell ref="B9:H9"/>
    <mergeCell ref="B10:H10"/>
    <mergeCell ref="B11:H11"/>
    <mergeCell ref="C13:H13"/>
    <mergeCell ref="B15:H15"/>
    <mergeCell ref="B2:H2"/>
    <mergeCell ref="B3:H3"/>
    <mergeCell ref="B5:H5"/>
    <mergeCell ref="B6:H6"/>
    <mergeCell ref="B8:H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28</vt:i4>
      </vt:variant>
    </vt:vector>
  </HeadingPairs>
  <TitlesOfParts>
    <vt:vector size="42" baseType="lpstr">
      <vt:lpstr>Plan de pagos</vt:lpstr>
      <vt:lpstr>Captura información</vt:lpstr>
      <vt:lpstr>Flujo credito</vt:lpstr>
      <vt:lpstr>Motor de Decision</vt:lpstr>
      <vt:lpstr>Guia</vt:lpstr>
      <vt:lpstr>Preguntas_Reto</vt:lpstr>
      <vt:lpstr>Evidencia Fotografica</vt:lpstr>
      <vt:lpstr>Simulador</vt:lpstr>
      <vt:lpstr>Guion</vt:lpstr>
      <vt:lpstr>Referenciación</vt:lpstr>
      <vt:lpstr>Preguntas reto</vt:lpstr>
      <vt:lpstr>Reglas</vt:lpstr>
      <vt:lpstr>Listas</vt:lpstr>
      <vt:lpstr>Calculo_Score</vt:lpstr>
      <vt:lpstr>'Evidencia Fotografica'!Área_de_impresión</vt:lpstr>
      <vt:lpstr>'Flujo credito'!Área_de_impresión</vt:lpstr>
      <vt:lpstr>'Plan de pagos'!Área_de_impresión</vt:lpstr>
      <vt:lpstr>LST_ADRES</vt:lpstr>
      <vt:lpstr>LST_APETITO</vt:lpstr>
      <vt:lpstr>LST_ARRAIGO</vt:lpstr>
      <vt:lpstr>LST_BANCARIZACION</vt:lpstr>
      <vt:lpstr>LST_CALIFICACION</vt:lpstr>
      <vt:lpstr>LST_CARGA</vt:lpstr>
      <vt:lpstr>LST_CARGA_TOTAL</vt:lpstr>
      <vt:lpstr>LST_CIERRES</vt:lpstr>
      <vt:lpstr>LST_COHERENCIA</vt:lpstr>
      <vt:lpstr>LST_COMP_6M</vt:lpstr>
      <vt:lpstr>LST_DISPONIBLE</vt:lpstr>
      <vt:lpstr>LST_ESTADO_ACTUAL</vt:lpstr>
      <vt:lpstr>LST_EXPERIENCIA</vt:lpstr>
      <vt:lpstr>LST_FORMALIDAD</vt:lpstr>
      <vt:lpstr>LST_HOLGURA</vt:lpstr>
      <vt:lpstr>LST_IDENTIDAD</vt:lpstr>
      <vt:lpstr>LST_MORA_12M</vt:lpstr>
      <vt:lpstr>LST_MORA_HOY</vt:lpstr>
      <vt:lpstr>LST_PESO_CUOTA</vt:lpstr>
      <vt:lpstr>LST_PUNTUALIDAD</vt:lpstr>
      <vt:lpstr>LST_TDC</vt:lpstr>
      <vt:lpstr>LST_TENDENCIA</vt:lpstr>
      <vt:lpstr>LST_USO_CUPO</vt:lpstr>
      <vt:lpstr>'Evidencia Fotografica'!Títulos_a_imprimir</vt:lpstr>
      <vt:lpstr>'Plan de pagos'!Títulos_a_imprimir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freddy</dc:creator>
  <dc:description/>
  <cp:lastModifiedBy>USER</cp:lastModifiedBy>
  <cp:revision>0</cp:revision>
  <cp:lastPrinted>2022-07-11T16:55:39Z</cp:lastPrinted>
  <dcterms:created xsi:type="dcterms:W3CDTF">2016-07-17T21:06:19Z</dcterms:created>
  <dcterms:modified xsi:type="dcterms:W3CDTF">2026-07-15T15:40:56Z</dcterms:modified>
  <dc:language>en-US</dc:language>
</cp:coreProperties>
</file>